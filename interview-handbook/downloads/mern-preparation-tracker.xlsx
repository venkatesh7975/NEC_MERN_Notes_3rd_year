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5a28914a0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86746329af4be8"/>
    <x:sheet xmlns:r="http://schemas.openxmlformats.org/officeDocument/2006/relationships" name="Questions" sheetId="2" r:id="Rb095b92903c04d34"/>
    <x:sheet xmlns:r="http://schemas.openxmlformats.org/officeDocument/2006/relationships" name="Machine coding" sheetId="3" r:id="Rcd86f1bac8b8482d"/>
    <x:sheet xmlns:r="http://schemas.openxmlformats.org/officeDocument/2006/relationships" name="Roadmap" sheetId="4" r:id="R34a07a01dbae47d5"/>
    <x:sheet xmlns:r="http://schemas.openxmlformats.org/officeDocument/2006/relationships" name="Resources" sheetId="5" r:id="R4471f65ee13341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20"/>
      <x:color rgb="FF172945"/>
      <x:name val="Calibri"/>
    </x:font>
    <x:font>
      <x:sz val="11"/>
      <x:color rgb="FF172945"/>
      <x:name val="Calibri"/>
    </x:font>
    <x:font>
      <x:b/>
      <x:sz val="11"/>
      <x:color rgb="FFFFFFFF"/>
      <x:name val="Calibri"/>
    </x:font>
    <x:font>
      <x:b/>
      <x:sz val="22"/>
      <x:color rgb="FF172945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14EA2"/>
      </x:patternFill>
    </x:fill>
    <x:fill>
      <x:patternFill patternType="solid">
        <x:fgColor rgb="FFF1F5FB"/>
      </x:patternFill>
    </x:fill>
    <x:fill>
      <x:patternFill patternType="solid">
        <x:fgColor rgb="FFFFF4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b06f6178a4985" /><Relationship Type="http://schemas.openxmlformats.org/officeDocument/2006/relationships/theme" Target="/xl/theme/theme1.xml" Id="R46f2ce3ada8343ff" /><Relationship Type="http://schemas.openxmlformats.org/officeDocument/2006/relationships/sharedStrings" Target="/xl/sharedStrings.xml" Id="R01b48d63d67d4b0a" /><Relationship Type="http://schemas.openxmlformats.org/officeDocument/2006/relationships/worksheet" Target="/xl/worksheets/sheet1.xml" Id="Rd586746329af4be8" /><Relationship Type="http://schemas.openxmlformats.org/officeDocument/2006/relationships/worksheet" Target="/xl/worksheets/sheet2.xml" Id="Rb095b92903c04d34" /><Relationship Type="http://schemas.openxmlformats.org/officeDocument/2006/relationships/worksheet" Target="/xl/worksheets/sheet3.xml" Id="Rcd86f1bac8b8482d" /><Relationship Type="http://schemas.openxmlformats.org/officeDocument/2006/relationships/worksheet" Target="/xl/worksheets/sheet4.xml" Id="R34a07a01dbae47d5" /><Relationship Type="http://schemas.openxmlformats.org/officeDocument/2006/relationships/worksheet" Target="/xl/worksheets/sheet5.xml" Id="R4471f65ee13341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14EA2"/>
  </x:sheetPr>
  <x:sheetViews>
    <x:sheetView showGridLines="0" workbookViewId="0"/>
  </x:sheetViews>
  <x:sheetFormatPr defaultRowHeight="15"/>
  <x:cols>
    <x:col min="1" max="1" width="45" hidden="0" customWidth="1"/>
    <x:col min="2" max="2" width="22" hidden="0" customWidth="1"/>
    <x:col min="3" max="3" width="22" hidden="0" customWidth="1"/>
  </x:cols>
  <x:sheetData>
    <x:row r="2" ht="42" customHeight="1">
      <x:c r="A2" s="12" t="str">
        <x:v>MERN preparation progress</x:v>
      </x:c>
    </x:row>
    <x:row r="4" ht="28" customHeight="1">
      <x:c r="A4" s="2" t="str">
        <x:v>Next review interval days</x:v>
      </x:c>
      <x:c r="B4" s="14" t="n">
        <x:v>3</x:v>
      </x:c>
      <x:c r="C4" s="2"/>
    </x:row>
    <x:row r="5" ht="28" customHeight="1">
      <x:c r="A5" s="2"/>
      <x:c r="B5" s="2"/>
      <x:c r="C5" s="2"/>
    </x:row>
    <x:row r="6" ht="28" customHeight="1">
      <x:c r="A6" s="2" t="str">
        <x:v>Questions in bank</x:v>
      </x:c>
      <x:c r="B6" s="2" t="n">
        <x:v>100</x:v>
      </x:c>
      <x:c r="C6" s="2"/>
    </x:row>
    <x:row r="7" ht="28" customHeight="1">
      <x:c r="A7" s="2" t="str">
        <x:v>Questions scored</x:v>
      </x:c>
      <x:c r="B7" s="2" t="n">
        <x:f>COUNT(Questions!E6:E105)</x:f>
        <x:v>0</x:v>
      </x:c>
      <x:c r="C7" s="2"/>
    </x:row>
    <x:row r="8" ht="28" customHeight="1">
      <x:c r="A8" s="2" t="str">
        <x:v>Questions with score 2 or 3</x:v>
      </x:c>
      <x:c r="B8" s="2" t="n">
        <x:f>COUNTIFS(Questions!E6:E105,"&gt;=2")</x:f>
        <x:v>0</x:v>
      </x:c>
      <x:c r="C8" s="2"/>
    </x:row>
    <x:row r="9" ht="28" customHeight="1">
      <x:c r="A9" s="2" t="str">
        <x:v>Timed exercises attempted</x:v>
      </x:c>
      <x:c r="B9" s="2" t="n">
        <x:f>COUNT('Machine coding'!E6:E21)</x:f>
        <x:v>0</x:v>
      </x:c>
      <x:c r="C9" s="2"/>
    </x:row>
    <x:row r="10" ht="28" customHeight="1">
      <x:c r="A10" s="2" t="str">
        <x:v>Weeks marked completed</x:v>
      </x:c>
      <x:c r="B10" s="2" t="n">
        <x:f>COUNTIFS(Roadmap!D6:D17,"Completed")</x:f>
        <x:v>0</x:v>
      </x:c>
      <x:c r="C10" s="2"/>
    </x:row>
    <x:row r="11" ht="28" customHeight="1">
      <x:c r="A11" s="2"/>
      <x:c r="B11" s="2"/>
      <x:c r="C11" s="2"/>
    </x:row>
    <x:row r="12" ht="28" customHeight="1">
      <x:c r="A12" s="2"/>
      <x:c r="B12" s="2"/>
      <x:c r="C12" s="2"/>
    </x:row>
    <x:row r="13" ht="28" customHeight="1">
      <x:c r="A13" s="16" t="str">
        <x:v>Difficulty</x:v>
      </x:c>
      <x:c r="B13" s="16" t="str">
        <x:v>Questions</x:v>
      </x:c>
      <x:c r="C13" s="16" t="str">
        <x:v>Score 2 or 3</x:v>
      </x:c>
    </x:row>
    <x:row r="14" ht="28" customHeight="1">
      <x:c r="A14" s="2" t="str">
        <x:v>Easy</x:v>
      </x:c>
      <x:c r="B14" s="2" t="n">
        <x:f>COUNTIFS(Questions!C6:C105,A14)</x:f>
        <x:v>30</x:v>
      </x:c>
      <x:c r="C14" s="2" t="n">
        <x:f>COUNTIFS(Questions!C6:C105,A14,Questions!E6:E105,"&gt;=2")</x:f>
        <x:v>0</x:v>
      </x:c>
    </x:row>
    <x:row r="15" ht="28" customHeight="1">
      <x:c r="A15" s="2" t="str">
        <x:v>Medium</x:v>
      </x:c>
      <x:c r="B15" s="2" t="n">
        <x:f>COUNTIFS(Questions!C6:C105,A15)</x:f>
        <x:v>40</x:v>
      </x:c>
      <x:c r="C15" s="2" t="n">
        <x:f>COUNTIFS(Questions!C6:C105,A15,Questions!E6:E105,"&gt;=2")</x:f>
        <x:v>0</x:v>
      </x:c>
    </x:row>
    <x:row r="16" ht="28" customHeight="1">
      <x:c r="A16" s="2" t="str">
        <x:v>Hard</x:v>
      </x:c>
      <x:c r="B16" s="2" t="n">
        <x:f>COUNTIFS(Questions!C6:C105,A16)</x:f>
        <x:v>30</x:v>
      </x:c>
      <x:c r="C16" s="2" t="n">
        <x:f>COUNTIFS(Questions!C6:C105,A16,Questions!E6:E105,"&gt;=2")</x:f>
        <x:v>0</x:v>
      </x:c>
    </x:row>
    <x:row r="17" ht="28" customHeight="1">
      <x:c r="A17" s="2"/>
      <x:c r="B17" s="2"/>
      <x:c r="C17" s="2"/>
    </x:row>
    <x:row r="18" ht="28" customHeight="1">
      <x:c r="A18" s="2"/>
      <x:c r="B18" s="2"/>
      <x:c r="C18" s="2"/>
    </x:row>
    <x:row r="19" ht="28" customHeight="1">
      <x:c r="A19" s="2" t="str">
        <x:v>Record observed behavior and review weak answers. Scores do not predict company selection.</x:v>
      </x:c>
      <x:c r="B19" s="2"/>
      <x:c r="C19" s="2"/>
    </x:row>
  </x:sheetData>
  <x:dataValidations count="1">
    <x:dataValidation type="whole" operator="between" sqref="B4">
      <x:formula1>1</x:formula1>
      <x:formula2>30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64" hidden="0" customWidth="1"/>
    <x:col min="5" max="5" width="17" hidden="0" customWidth="1"/>
    <x:col min="6" max="6" width="19" hidden="0" customWidth="1"/>
    <x:col min="7" max="7" width="19" hidden="0" customWidth="1"/>
    <x:col min="8" max="8" width="19" hidden="0" customWidth="1"/>
    <x:col min="9" max="9" width="45" hidden="0" customWidth="1"/>
  </x:cols>
  <x:sheetData>
    <x:row r="2" ht="38" customHeight="1">
      <x:c r="A2" s="1" t="str">
        <x:v>Question recall tracker</x:v>
      </x:c>
    </x:row>
    <x:row r="3">
      <x:c r="A3" t="str">
        <x:v>Score 0 cannot explain, 1 definition only, 2 correct with example, 3 tradeoff and failure case. Editable fields are pale amber.</x:v>
      </x:c>
    </x:row>
    <x:row r="5" ht="38" customHeight="1">
      <x:c r="A5" s="6" t="str">
        <x:v>ID</x:v>
      </x:c>
      <x:c r="B5" s="6" t="str">
        <x:v>Topic</x:v>
      </x:c>
      <x:c r="C5" s="6" t="str">
        <x:v>Difficulty</x:v>
      </x:c>
      <x:c r="D5" s="6" t="str">
        <x:v>Question</x:v>
      </x:c>
      <x:c r="E5" s="6" t="str">
        <x:v>Score 0 to 3</x:v>
      </x:c>
      <x:c r="F5" s="6" t="str">
        <x:v>Status</x:v>
      </x:c>
      <x:c r="G5" s="6" t="str">
        <x:v>Last reviewed</x:v>
      </x:c>
      <x:c r="H5" s="6" t="str">
        <x:v>Next review</x:v>
      </x:c>
      <x:c r="I5" s="6" t="str">
        <x:v>Evidence or weakness</x:v>
      </x:c>
    </x:row>
    <x:row r="6" ht="66" customHeight="1">
      <x:c r="A6" s="7" t="str">
        <x:v>Q001</x:v>
      </x:c>
      <x:c r="B6" s="7" t="str">
        <x:v>html-css</x:v>
      </x:c>
      <x:c r="C6" s="7" t="str">
        <x:v>Easy</x:v>
      </x:c>
      <x:c r="D6" s="7" t="str">
        <x:v>Why use a button instead of a clickable div?</x:v>
      </x:c>
      <x:c r="E6" s="8"/>
      <x:c r="F6" s="8" t="str">
        <x:v>Not started</x:v>
      </x:c>
      <x:c r="G6" s="9"/>
      <x:c r="H6" s="10" t="str">
        <x:f>IF(G6="","",G6+Summary!$B$4)</x:f>
      </x:c>
      <x:c r="I6" s="8" t="str"/>
    </x:row>
    <x:row r="7" ht="66" customHeight="1">
      <x:c r="A7" s="4" t="str">
        <x:v>Q002</x:v>
      </x:c>
      <x:c r="B7" s="4" t="str">
        <x:v>html-css</x:v>
      </x:c>
      <x:c r="C7" s="4" t="str">
        <x:v>Easy</x:v>
      </x:c>
      <x:c r="D7" s="4" t="str">
        <x:v>What is the difference between an id and a class?</x:v>
      </x:c>
      <x:c r="E7" s="8"/>
      <x:c r="F7" s="8" t="str">
        <x:v>Not started</x:v>
      </x:c>
      <x:c r="G7" s="9"/>
      <x:c r="H7" s="11" t="str">
        <x:f>IF(G7="","",G7+Summary!$B$4)</x:f>
      </x:c>
      <x:c r="I7" s="8" t="str"/>
    </x:row>
    <x:row r="8" ht="66" customHeight="1">
      <x:c r="A8" s="7" t="str">
        <x:v>Q003</x:v>
      </x:c>
      <x:c r="B8" s="7" t="str">
        <x:v>html-css</x:v>
      </x:c>
      <x:c r="C8" s="7" t="str">
        <x:v>Easy</x:v>
      </x:c>
      <x:c r="D8" s="7" t="str">
        <x:v>Explain the CSS box model.</x:v>
      </x:c>
      <x:c r="E8" s="8"/>
      <x:c r="F8" s="8" t="str">
        <x:v>Not started</x:v>
      </x:c>
      <x:c r="G8" s="9"/>
      <x:c r="H8" s="10" t="str">
        <x:f>IF(G8="","",G8+Summary!$B$4)</x:f>
      </x:c>
      <x:c r="I8" s="8" t="str"/>
    </x:row>
    <x:row r="9" ht="66" customHeight="1">
      <x:c r="A9" s="4" t="str">
        <x:v>Q004</x:v>
      </x:c>
      <x:c r="B9" s="4" t="str">
        <x:v>html-css</x:v>
      </x:c>
      <x:c r="C9" s="4" t="str">
        <x:v>Medium</x:v>
      </x:c>
      <x:c r="D9" s="4" t="str">
        <x:v>When would you choose Grid over Flexbox?</x:v>
      </x:c>
      <x:c r="E9" s="8"/>
      <x:c r="F9" s="8" t="str">
        <x:v>Not started</x:v>
      </x:c>
      <x:c r="G9" s="9"/>
      <x:c r="H9" s="11" t="str">
        <x:f>IF(G9="","",G9+Summary!$B$4)</x:f>
      </x:c>
      <x:c r="I9" s="8" t="str"/>
    </x:row>
    <x:row r="10" ht="66" customHeight="1">
      <x:c r="A10" s="7" t="str">
        <x:v>Q005</x:v>
      </x:c>
      <x:c r="B10" s="7" t="str">
        <x:v>html-css</x:v>
      </x:c>
      <x:c r="C10" s="7" t="str">
        <x:v>Medium</x:v>
      </x:c>
      <x:c r="D10" s="7" t="str">
        <x:v>Why is z-index 999999 still behind a modal?</x:v>
      </x:c>
      <x:c r="E10" s="8"/>
      <x:c r="F10" s="8" t="str">
        <x:v>Not started</x:v>
      </x:c>
      <x:c r="G10" s="9"/>
      <x:c r="H10" s="10" t="str">
        <x:f>IF(G10="","",G10+Summary!$B$4)</x:f>
      </x:c>
      <x:c r="I10" s="8" t="str"/>
    </x:row>
    <x:row r="11" ht="66" customHeight="1">
      <x:c r="A11" s="4" t="str">
        <x:v>Q006</x:v>
      </x:c>
      <x:c r="B11" s="4" t="str">
        <x:v>html-css</x:v>
      </x:c>
      <x:c r="C11" s="4" t="str">
        <x:v>Medium</x:v>
      </x:c>
      <x:c r="D11" s="4" t="str">
        <x:v>How do you build an accessible form?</x:v>
      </x:c>
      <x:c r="E11" s="8"/>
      <x:c r="F11" s="8" t="str">
        <x:v>Not started</x:v>
      </x:c>
      <x:c r="G11" s="9"/>
      <x:c r="H11" s="11" t="str">
        <x:f>IF(G11="","",G11+Summary!$B$4)</x:f>
      </x:c>
      <x:c r="I11" s="8" t="str"/>
    </x:row>
    <x:row r="12" ht="66" customHeight="1">
      <x:c r="A12" s="7" t="str">
        <x:v>Q007</x:v>
      </x:c>
      <x:c r="B12" s="7" t="str">
        <x:v>html-css</x:v>
      </x:c>
      <x:c r="C12" s="7" t="str">
        <x:v>Medium</x:v>
      </x:c>
      <x:c r="D12" s="7" t="str">
        <x:v>What does the cascade actually decide?</x:v>
      </x:c>
      <x:c r="E12" s="8"/>
      <x:c r="F12" s="8" t="str">
        <x:v>Not started</x:v>
      </x:c>
      <x:c r="G12" s="9"/>
      <x:c r="H12" s="10" t="str">
        <x:f>IF(G12="","",G12+Summary!$B$4)</x:f>
      </x:c>
      <x:c r="I12" s="8" t="str"/>
    </x:row>
    <x:row r="13" ht="66" customHeight="1">
      <x:c r="A13" s="4" t="str">
        <x:v>Q008</x:v>
      </x:c>
      <x:c r="B13" s="4" t="str">
        <x:v>html-css</x:v>
      </x:c>
      <x:c r="C13" s="4" t="str">
        <x:v>Hard</x:v>
      </x:c>
      <x:c r="D13" s="4" t="str">
        <x:v>How do you debug layout shift?</x:v>
      </x:c>
      <x:c r="E13" s="8"/>
      <x:c r="F13" s="8" t="str">
        <x:v>Not started</x:v>
      </x:c>
      <x:c r="G13" s="9"/>
      <x:c r="H13" s="11" t="str">
        <x:f>IF(G13="","",G13+Summary!$B$4)</x:f>
      </x:c>
      <x:c r="I13" s="8" t="str"/>
    </x:row>
    <x:row r="14" ht="66" customHeight="1">
      <x:c r="A14" s="7" t="str">
        <x:v>Q009</x:v>
      </x:c>
      <x:c r="B14" s="7" t="str">
        <x:v>html-css</x:v>
      </x:c>
      <x:c r="C14" s="7" t="str">
        <x:v>Hard</x:v>
      </x:c>
      <x:c r="D14" s="7" t="str">
        <x:v>How should a modal manage focus?</x:v>
      </x:c>
      <x:c r="E14" s="8"/>
      <x:c r="F14" s="8" t="str">
        <x:v>Not started</x:v>
      </x:c>
      <x:c r="G14" s="9"/>
      <x:c r="H14" s="10" t="str">
        <x:f>IF(G14="","",G14+Summary!$B$4)</x:f>
      </x:c>
      <x:c r="I14" s="8" t="str"/>
    </x:row>
    <x:row r="15" ht="66" customHeight="1">
      <x:c r="A15" s="4" t="str">
        <x:v>Q010</x:v>
      </x:c>
      <x:c r="B15" s="4" t="str">
        <x:v>html-css</x:v>
      </x:c>
      <x:c r="C15" s="4" t="str">
        <x:v>Hard</x:v>
      </x:c>
      <x:c r="D15" s="4" t="str">
        <x:v>How do you make a table usable on a phone?</x:v>
      </x:c>
      <x:c r="E15" s="8"/>
      <x:c r="F15" s="8" t="str">
        <x:v>Not started</x:v>
      </x:c>
      <x:c r="G15" s="9"/>
      <x:c r="H15" s="11" t="str">
        <x:f>IF(G15="","",G15+Summary!$B$4)</x:f>
      </x:c>
      <x:c r="I15" s="8" t="str"/>
    </x:row>
    <x:row r="16" ht="66" customHeight="1">
      <x:c r="A16" s="7" t="str">
        <x:v>Q011</x:v>
      </x:c>
      <x:c r="B16" s="7" t="str">
        <x:v>javascript</x:v>
      </x:c>
      <x:c r="C16" s="7" t="str">
        <x:v>Easy</x:v>
      </x:c>
      <x:c r="D16" s="7" t="str">
        <x:v>What does const guarantee?</x:v>
      </x:c>
      <x:c r="E16" s="8"/>
      <x:c r="F16" s="8" t="str">
        <x:v>Not started</x:v>
      </x:c>
      <x:c r="G16" s="9"/>
      <x:c r="H16" s="10" t="str">
        <x:f>IF(G16="","",G16+Summary!$B$4)</x:f>
      </x:c>
      <x:c r="I16" s="8" t="str"/>
    </x:row>
    <x:row r="17" ht="66" customHeight="1">
      <x:c r="A17" s="4" t="str">
        <x:v>Q012</x:v>
      </x:c>
      <x:c r="B17" s="4" t="str">
        <x:v>javascript</x:v>
      </x:c>
      <x:c r="C17" s="4" t="str">
        <x:v>Easy</x:v>
      </x:c>
      <x:c r="D17" s="4" t="str">
        <x:v>Compare strict equality and Object.is.</x:v>
      </x:c>
      <x:c r="E17" s="8"/>
      <x:c r="F17" s="8" t="str">
        <x:v>Not started</x:v>
      </x:c>
      <x:c r="G17" s="9"/>
      <x:c r="H17" s="11" t="str">
        <x:f>IF(G17="","",G17+Summary!$B$4)</x:f>
      </x:c>
      <x:c r="I17" s="8" t="str"/>
    </x:row>
    <x:row r="18" ht="66" customHeight="1">
      <x:c r="A18" s="7" t="str">
        <x:v>Q013</x:v>
      </x:c>
      <x:c r="B18" s="7" t="str">
        <x:v>javascript</x:v>
      </x:c>
      <x:c r="C18" s="7" t="str">
        <x:v>Easy</x:v>
      </x:c>
      <x:c r="D18" s="7" t="str">
        <x:v>Explain a closure with a useful example.</x:v>
      </x:c>
      <x:c r="E18" s="8"/>
      <x:c r="F18" s="8" t="str">
        <x:v>Not started</x:v>
      </x:c>
      <x:c r="G18" s="9"/>
      <x:c r="H18" s="10" t="str">
        <x:f>IF(G18="","",G18+Summary!$B$4)</x:f>
      </x:c>
      <x:c r="I18" s="8" t="str"/>
    </x:row>
    <x:row r="19" ht="66" customHeight="1">
      <x:c r="A19" s="4" t="str">
        <x:v>Q014</x:v>
      </x:c>
      <x:c r="B19" s="4" t="str">
        <x:v>javascript</x:v>
      </x:c>
      <x:c r="C19" s="4" t="str">
        <x:v>Medium</x:v>
      </x:c>
      <x:c r="D19" s="4" t="str">
        <x:v>Predict synchronous logs, a promise, and a timer.</x:v>
      </x:c>
      <x:c r="E19" s="8"/>
      <x:c r="F19" s="8" t="str">
        <x:v>Not started</x:v>
      </x:c>
      <x:c r="G19" s="9"/>
      <x:c r="H19" s="11" t="str">
        <x:f>IF(G19="","",G19+Summary!$B$4)</x:f>
      </x:c>
      <x:c r="I19" s="8" t="str"/>
    </x:row>
    <x:row r="20" ht="66" customHeight="1">
      <x:c r="A20" s="7" t="str">
        <x:v>Q015</x:v>
      </x:c>
      <x:c r="B20" s="7" t="str">
        <x:v>javascript</x:v>
      </x:c>
      <x:c r="C20" s="7" t="str">
        <x:v>Medium</x:v>
      </x:c>
      <x:c r="D20" s="7" t="str">
        <x:v>Why does spreading an object not deep clone it?</x:v>
      </x:c>
      <x:c r="E20" s="8"/>
      <x:c r="F20" s="8" t="str">
        <x:v>Not started</x:v>
      </x:c>
      <x:c r="G20" s="9"/>
      <x:c r="H20" s="10" t="str">
        <x:f>IF(G20="","",G20+Summary!$B$4)</x:f>
      </x:c>
      <x:c r="I20" s="8" t="str"/>
    </x:row>
    <x:row r="21" ht="66" customHeight="1">
      <x:c r="A21" s="4" t="str">
        <x:v>Q016</x:v>
      </x:c>
      <x:c r="B21" s="4" t="str">
        <x:v>javascript</x:v>
      </x:c>
      <x:c r="C21" s="4" t="str">
        <x:v>Medium</x:v>
      </x:c>
      <x:c r="D21" s="4" t="str">
        <x:v>Compare debounce and throttle.</x:v>
      </x:c>
      <x:c r="E21" s="8"/>
      <x:c r="F21" s="8" t="str">
        <x:v>Not started</x:v>
      </x:c>
      <x:c r="G21" s="9"/>
      <x:c r="H21" s="11" t="str">
        <x:f>IF(G21="","",G21+Summary!$B$4)</x:f>
      </x:c>
      <x:c r="I21" s="8" t="str"/>
    </x:row>
    <x:row r="22" ht="66" customHeight="1">
      <x:c r="A22" s="7" t="str">
        <x:v>Q017</x:v>
      </x:c>
      <x:c r="B22" s="7" t="str">
        <x:v>javascript</x:v>
      </x:c>
      <x:c r="C22" s="7" t="str">
        <x:v>Medium</x:v>
      </x:c>
      <x:c r="D22" s="7" t="str">
        <x:v>Compare Promise.all and Promise.allSettled.</x:v>
      </x:c>
      <x:c r="E22" s="8"/>
      <x:c r="F22" s="8" t="str">
        <x:v>Not started</x:v>
      </x:c>
      <x:c r="G22" s="9"/>
      <x:c r="H22" s="10" t="str">
        <x:f>IF(G22="","",G22+Summary!$B$4)</x:f>
      </x:c>
      <x:c r="I22" s="8" t="str"/>
    </x:row>
    <x:row r="23" ht="66" customHeight="1">
      <x:c r="A23" s="4" t="str">
        <x:v>Q018</x:v>
      </x:c>
      <x:c r="B23" s="4" t="str">
        <x:v>javascript</x:v>
      </x:c>
      <x:c r="C23" s="4" t="str">
        <x:v>Hard</x:v>
      </x:c>
      <x:c r="D23" s="4" t="str">
        <x:v>How does this behave in arrow functions?</x:v>
      </x:c>
      <x:c r="E23" s="8"/>
      <x:c r="F23" s="8" t="str">
        <x:v>Not started</x:v>
      </x:c>
      <x:c r="G23" s="9"/>
      <x:c r="H23" s="11" t="str">
        <x:f>IF(G23="","",G23+Summary!$B$4)</x:f>
      </x:c>
      <x:c r="I23" s="8" t="str"/>
    </x:row>
    <x:row r="24" ht="66" customHeight="1">
      <x:c r="A24" s="7" t="str">
        <x:v>Q019</x:v>
      </x:c>
      <x:c r="B24" s="7" t="str">
        <x:v>javascript</x:v>
      </x:c>
      <x:c r="C24" s="7" t="str">
        <x:v>Hard</x:v>
      </x:c>
      <x:c r="D24" s="7" t="str">
        <x:v>How would you implement an LRU cache?</x:v>
      </x:c>
      <x:c r="E24" s="8"/>
      <x:c r="F24" s="8" t="str">
        <x:v>Not started</x:v>
      </x:c>
      <x:c r="G24" s="9"/>
      <x:c r="H24" s="10" t="str">
        <x:f>IF(G24="","",G24+Summary!$B$4)</x:f>
      </x:c>
      <x:c r="I24" s="8" t="str"/>
    </x:row>
    <x:row r="25" ht="66" customHeight="1">
      <x:c r="A25" s="4" t="str">
        <x:v>Q020</x:v>
      </x:c>
      <x:c r="B25" s="4" t="str">
        <x:v>javascript</x:v>
      </x:c>
      <x:c r="C25" s="4" t="str">
        <x:v>Hard</x:v>
      </x:c>
      <x:c r="D25" s="4" t="str">
        <x:v>What causes memory leaks in browser code?</x:v>
      </x:c>
      <x:c r="E25" s="8"/>
      <x:c r="F25" s="8" t="str">
        <x:v>Not started</x:v>
      </x:c>
      <x:c r="G25" s="9"/>
      <x:c r="H25" s="11" t="str">
        <x:f>IF(G25="","",G25+Summary!$B$4)</x:f>
      </x:c>
      <x:c r="I25" s="8" t="str"/>
    </x:row>
    <x:row r="26" ht="66" customHeight="1">
      <x:c r="A26" s="7" t="str">
        <x:v>Q021</x:v>
      </x:c>
      <x:c r="B26" s="7" t="str">
        <x:v>react</x:v>
      </x:c>
      <x:c r="C26" s="7" t="str">
        <x:v>Easy</x:v>
      </x:c>
      <x:c r="D26" s="7" t="str">
        <x:v>What is the difference between props and state?</x:v>
      </x:c>
      <x:c r="E26" s="8"/>
      <x:c r="F26" s="8" t="str">
        <x:v>Not started</x:v>
      </x:c>
      <x:c r="G26" s="9"/>
      <x:c r="H26" s="10" t="str">
        <x:f>IF(G26="","",G26+Summary!$B$4)</x:f>
      </x:c>
      <x:c r="I26" s="8" t="str"/>
    </x:row>
    <x:row r="27" ht="66" customHeight="1">
      <x:c r="A27" s="4" t="str">
        <x:v>Q022</x:v>
      </x:c>
      <x:c r="B27" s="4" t="str">
        <x:v>react</x:v>
      </x:c>
      <x:c r="C27" s="4" t="str">
        <x:v>Easy</x:v>
      </x:c>
      <x:c r="D27" s="4" t="str">
        <x:v>Why do list items need stable keys?</x:v>
      </x:c>
      <x:c r="E27" s="8"/>
      <x:c r="F27" s="8" t="str">
        <x:v>Not started</x:v>
      </x:c>
      <x:c r="G27" s="9"/>
      <x:c r="H27" s="11" t="str">
        <x:f>IF(G27="","",G27+Summary!$B$4)</x:f>
      </x:c>
      <x:c r="I27" s="8" t="str"/>
    </x:row>
    <x:row r="28" ht="66" customHeight="1">
      <x:c r="A28" s="7" t="str">
        <x:v>Q023</x:v>
      </x:c>
      <x:c r="B28" s="7" t="str">
        <x:v>react</x:v>
      </x:c>
      <x:c r="C28" s="7" t="str">
        <x:v>Easy</x:v>
      </x:c>
      <x:c r="D28" s="7" t="str">
        <x:v>Why does setCount(count + 1) twice often add only one?</x:v>
      </x:c>
      <x:c r="E28" s="8"/>
      <x:c r="F28" s="8" t="str">
        <x:v>Not started</x:v>
      </x:c>
      <x:c r="G28" s="9"/>
      <x:c r="H28" s="10" t="str">
        <x:f>IF(G28="","",G28+Summary!$B$4)</x:f>
      </x:c>
      <x:c r="I28" s="8" t="str"/>
    </x:row>
    <x:row r="29" ht="66" customHeight="1">
      <x:c r="A29" s="4" t="str">
        <x:v>Q024</x:v>
      </x:c>
      <x:c r="B29" s="4" t="str">
        <x:v>react</x:v>
      </x:c>
      <x:c r="C29" s="4" t="str">
        <x:v>Medium</x:v>
      </x:c>
      <x:c r="D29" s="4" t="str">
        <x:v>What belongs in useEffect?</x:v>
      </x:c>
      <x:c r="E29" s="8"/>
      <x:c r="F29" s="8" t="str">
        <x:v>Not started</x:v>
      </x:c>
      <x:c r="G29" s="9"/>
      <x:c r="H29" s="11" t="str">
        <x:f>IF(G29="","",G29+Summary!$B$4)</x:f>
      </x:c>
      <x:c r="I29" s="8" t="str"/>
    </x:row>
    <x:row r="30" ht="66" customHeight="1">
      <x:c r="A30" s="7" t="str">
        <x:v>Q025</x:v>
      </x:c>
      <x:c r="B30" s="7" t="str">
        <x:v>react</x:v>
      </x:c>
      <x:c r="C30" s="7" t="str">
        <x:v>Medium</x:v>
      </x:c>
      <x:c r="D30" s="7" t="str">
        <x:v>How do you avoid stale search responses?</x:v>
      </x:c>
      <x:c r="E30" s="8"/>
      <x:c r="F30" s="8" t="str">
        <x:v>Not started</x:v>
      </x:c>
      <x:c r="G30" s="9"/>
      <x:c r="H30" s="10" t="str">
        <x:f>IF(G30="","",G30+Summary!$B$4)</x:f>
      </x:c>
      <x:c r="I30" s="8" t="str"/>
    </x:row>
    <x:row r="31" ht="66" customHeight="1">
      <x:c r="A31" s="4" t="str">
        <x:v>Q026</x:v>
      </x:c>
      <x:c r="B31" s="4" t="str">
        <x:v>react</x:v>
      </x:c>
      <x:c r="C31" s="4" t="str">
        <x:v>Medium</x:v>
      </x:c>
      <x:c r="D31" s="4" t="str">
        <x:v>When would you use a reducer?</x:v>
      </x:c>
      <x:c r="E31" s="8"/>
      <x:c r="F31" s="8" t="str">
        <x:v>Not started</x:v>
      </x:c>
      <x:c r="G31" s="9"/>
      <x:c r="H31" s="11" t="str">
        <x:f>IF(G31="","",G31+Summary!$B$4)</x:f>
      </x:c>
      <x:c r="I31" s="8" t="str"/>
    </x:row>
    <x:row r="32" ht="66" customHeight="1">
      <x:c r="A32" s="7" t="str">
        <x:v>Q027</x:v>
      </x:c>
      <x:c r="B32" s="7" t="str">
        <x:v>react</x:v>
      </x:c>
      <x:c r="C32" s="7" t="str">
        <x:v>Medium</x:v>
      </x:c>
      <x:c r="D32" s="7" t="str">
        <x:v>Does context prevent renders?</x:v>
      </x:c>
      <x:c r="E32" s="8"/>
      <x:c r="F32" s="8" t="str">
        <x:v>Not started</x:v>
      </x:c>
      <x:c r="G32" s="9"/>
      <x:c r="H32" s="10" t="str">
        <x:f>IF(G32="","",G32+Summary!$B$4)</x:f>
      </x:c>
      <x:c r="I32" s="8" t="str"/>
    </x:row>
    <x:row r="33" ht="66" customHeight="1">
      <x:c r="A33" s="4" t="str">
        <x:v>Q028</x:v>
      </x:c>
      <x:c r="B33" s="4" t="str">
        <x:v>react</x:v>
      </x:c>
      <x:c r="C33" s="4" t="str">
        <x:v>Hard</x:v>
      </x:c>
      <x:c r="D33" s="4" t="str">
        <x:v>How do you handle optimistic updates safely?</x:v>
      </x:c>
      <x:c r="E33" s="8"/>
      <x:c r="F33" s="8" t="str">
        <x:v>Not started</x:v>
      </x:c>
      <x:c r="G33" s="9"/>
      <x:c r="H33" s="11" t="str">
        <x:f>IF(G33="","",G33+Summary!$B$4)</x:f>
      </x:c>
      <x:c r="I33" s="8" t="str"/>
    </x:row>
    <x:row r="34" ht="66" customHeight="1">
      <x:c r="A34" s="7" t="str">
        <x:v>Q029</x:v>
      </x:c>
      <x:c r="B34" s="7" t="str">
        <x:v>react</x:v>
      </x:c>
      <x:c r="C34" s="7" t="str">
        <x:v>Hard</x:v>
      </x:c>
      <x:c r="D34" s="7" t="str">
        <x:v>How do you improve a slow React list?</x:v>
      </x:c>
      <x:c r="E34" s="8"/>
      <x:c r="F34" s="8" t="str">
        <x:v>Not started</x:v>
      </x:c>
      <x:c r="G34" s="9"/>
      <x:c r="H34" s="10" t="str">
        <x:f>IF(G34="","",G34+Summary!$B$4)</x:f>
      </x:c>
      <x:c r="I34" s="8" t="str"/>
    </x:row>
    <x:row r="35" ht="66" customHeight="1">
      <x:c r="A35" s="4" t="str">
        <x:v>Q030</x:v>
      </x:c>
      <x:c r="B35" s="4" t="str">
        <x:v>react</x:v>
      </x:c>
      <x:c r="C35" s="4" t="str">
        <x:v>Hard</x:v>
      </x:c>
      <x:c r="D35" s="4" t="str">
        <x:v>Compare client components and server components.</x:v>
      </x:c>
      <x:c r="E35" s="8"/>
      <x:c r="F35" s="8" t="str">
        <x:v>Not started</x:v>
      </x:c>
      <x:c r="G35" s="9"/>
      <x:c r="H35" s="11" t="str">
        <x:f>IF(G35="","",G35+Summary!$B$4)</x:f>
      </x:c>
      <x:c r="I35" s="8" t="str"/>
    </x:row>
    <x:row r="36" ht="66" customHeight="1">
      <x:c r="A36" s="7" t="str">
        <x:v>Q031</x:v>
      </x:c>
      <x:c r="B36" s="7" t="str">
        <x:v>node-express</x:v>
      </x:c>
      <x:c r="C36" s="7" t="str">
        <x:v>Easy</x:v>
      </x:c>
      <x:c r="D36" s="7" t="str">
        <x:v>What does Node add to JavaScript?</x:v>
      </x:c>
      <x:c r="E36" s="8"/>
      <x:c r="F36" s="8" t="str">
        <x:v>Not started</x:v>
      </x:c>
      <x:c r="G36" s="9"/>
      <x:c r="H36" s="10" t="str">
        <x:f>IF(G36="","",G36+Summary!$B$4)</x:f>
      </x:c>
      <x:c r="I36" s="8" t="str"/>
    </x:row>
    <x:row r="37" ht="66" customHeight="1">
      <x:c r="A37" s="4" t="str">
        <x:v>Q032</x:v>
      </x:c>
      <x:c r="B37" s="4" t="str">
        <x:v>node-express</x:v>
      </x:c>
      <x:c r="C37" s="4" t="str">
        <x:v>Easy</x:v>
      </x:c>
      <x:c r="D37" s="4" t="str">
        <x:v>What is Express middleware?</x:v>
      </x:c>
      <x:c r="E37" s="8"/>
      <x:c r="F37" s="8" t="str">
        <x:v>Not started</x:v>
      </x:c>
      <x:c r="G37" s="9"/>
      <x:c r="H37" s="11" t="str">
        <x:f>IF(G37="","",G37+Summary!$B$4)</x:f>
      </x:c>
      <x:c r="I37" s="8" t="str"/>
    </x:row>
    <x:row r="38" ht="66" customHeight="1">
      <x:c r="A38" s="7" t="str">
        <x:v>Q033</x:v>
      </x:c>
      <x:c r="B38" s="7" t="str">
        <x:v>node-express</x:v>
      </x:c>
      <x:c r="C38" s="7" t="str">
        <x:v>Easy</x:v>
      </x:c>
      <x:c r="D38" s="7" t="str">
        <x:v>Why must input validation run on the server?</x:v>
      </x:c>
      <x:c r="E38" s="8"/>
      <x:c r="F38" s="8" t="str">
        <x:v>Not started</x:v>
      </x:c>
      <x:c r="G38" s="9"/>
      <x:c r="H38" s="10" t="str">
        <x:f>IF(G38="","",G38+Summary!$B$4)</x:f>
      </x:c>
      <x:c r="I38" s="8" t="str"/>
    </x:row>
    <x:row r="39" ht="66" customHeight="1">
      <x:c r="A39" s="4" t="str">
        <x:v>Q034</x:v>
      </x:c>
      <x:c r="B39" s="4" t="str">
        <x:v>node-express</x:v>
      </x:c>
      <x:c r="C39" s="4" t="str">
        <x:v>Medium</x:v>
      </x:c>
      <x:c r="D39" s="4" t="str">
        <x:v>How do Express 4 and Express 5 differ for async errors?</x:v>
      </x:c>
      <x:c r="E39" s="8"/>
      <x:c r="F39" s="8" t="str">
        <x:v>Not started</x:v>
      </x:c>
      <x:c r="G39" s="9"/>
      <x:c r="H39" s="11" t="str">
        <x:f>IF(G39="","",G39+Summary!$B$4)</x:f>
      </x:c>
      <x:c r="I39" s="8" t="str"/>
    </x:row>
    <x:row r="40" ht="66" customHeight="1">
      <x:c r="A40" s="7" t="str">
        <x:v>Q035</x:v>
      </x:c>
      <x:c r="B40" s="7" t="str">
        <x:v>node-express</x:v>
      </x:c>
      <x:c r="C40" s="7" t="str">
        <x:v>Medium</x:v>
      </x:c>
      <x:c r="D40" s="7" t="str">
        <x:v>When should you use a stream?</x:v>
      </x:c>
      <x:c r="E40" s="8"/>
      <x:c r="F40" s="8" t="str">
        <x:v>Not started</x:v>
      </x:c>
      <x:c r="G40" s="9"/>
      <x:c r="H40" s="10" t="str">
        <x:f>IF(G40="","",G40+Summary!$B$4)</x:f>
      </x:c>
      <x:c r="I40" s="8" t="str"/>
    </x:row>
    <x:row r="41" ht="66" customHeight="1">
      <x:c r="A41" s="4" t="str">
        <x:v>Q036</x:v>
      </x:c>
      <x:c r="B41" s="4" t="str">
        <x:v>node-express</x:v>
      </x:c>
      <x:c r="C41" s="4" t="str">
        <x:v>Medium</x:v>
      </x:c>
      <x:c r="D41" s="4" t="str">
        <x:v>How do you shut down an API gracefully?</x:v>
      </x:c>
      <x:c r="E41" s="8"/>
      <x:c r="F41" s="8" t="str">
        <x:v>Not started</x:v>
      </x:c>
      <x:c r="G41" s="9"/>
      <x:c r="H41" s="11" t="str">
        <x:f>IF(G41="","",G41+Summary!$B$4)</x:f>
      </x:c>
      <x:c r="I41" s="8" t="str"/>
    </x:row>
    <x:row r="42" ht="66" customHeight="1">
      <x:c r="A42" s="7" t="str">
        <x:v>Q037</x:v>
      </x:c>
      <x:c r="B42" s="7" t="str">
        <x:v>node-express</x:v>
      </x:c>
      <x:c r="C42" s="7" t="str">
        <x:v>Medium</x:v>
      </x:c>
      <x:c r="D42" s="7" t="str">
        <x:v>How do you diagnose a blocked event loop?</x:v>
      </x:c>
      <x:c r="E42" s="8"/>
      <x:c r="F42" s="8" t="str">
        <x:v>Not started</x:v>
      </x:c>
      <x:c r="G42" s="9"/>
      <x:c r="H42" s="10" t="str">
        <x:f>IF(G42="","",G42+Summary!$B$4)</x:f>
      </x:c>
      <x:c r="I42" s="8" t="str"/>
    </x:row>
    <x:row r="43" ht="66" customHeight="1">
      <x:c r="A43" s="4" t="str">
        <x:v>Q038</x:v>
      </x:c>
      <x:c r="B43" s="4" t="str">
        <x:v>node-express</x:v>
      </x:c>
      <x:c r="C43" s="4" t="str">
        <x:v>Hard</x:v>
      </x:c>
      <x:c r="D43" s="4" t="str">
        <x:v>How should rate limits work across multiple instances?</x:v>
      </x:c>
      <x:c r="E43" s="8"/>
      <x:c r="F43" s="8" t="str">
        <x:v>Not started</x:v>
      </x:c>
      <x:c r="G43" s="9"/>
      <x:c r="H43" s="11" t="str">
        <x:f>IF(G43="","",G43+Summary!$B$4)</x:f>
      </x:c>
      <x:c r="I43" s="8" t="str"/>
    </x:row>
    <x:row r="44" ht="66" customHeight="1">
      <x:c r="A44" s="7" t="str">
        <x:v>Q039</x:v>
      </x:c>
      <x:c r="B44" s="7" t="str">
        <x:v>node-express</x:v>
      </x:c>
      <x:c r="C44" s="7" t="str">
        <x:v>Hard</x:v>
      </x:c>
      <x:c r="D44" s="7" t="str">
        <x:v>How do you safely retry an API request?</x:v>
      </x:c>
      <x:c r="E44" s="8"/>
      <x:c r="F44" s="8" t="str">
        <x:v>Not started</x:v>
      </x:c>
      <x:c r="G44" s="9"/>
      <x:c r="H44" s="10" t="str">
        <x:f>IF(G44="","",G44+Summary!$B$4)</x:f>
      </x:c>
      <x:c r="I44" s="8" t="str"/>
    </x:row>
    <x:row r="45" ht="66" customHeight="1">
      <x:c r="A45" s="4" t="str">
        <x:v>Q040</x:v>
      </x:c>
      <x:c r="B45" s="4" t="str">
        <x:v>node-express</x:v>
      </x:c>
      <x:c r="C45" s="4" t="str">
        <x:v>Hard</x:v>
      </x:c>
      <x:c r="D45" s="4" t="str">
        <x:v>What should structured API logs contain?</x:v>
      </x:c>
      <x:c r="E45" s="8"/>
      <x:c r="F45" s="8" t="str">
        <x:v>Not started</x:v>
      </x:c>
      <x:c r="G45" s="9"/>
      <x:c r="H45" s="11" t="str">
        <x:f>IF(G45="","",G45+Summary!$B$4)</x:f>
      </x:c>
      <x:c r="I45" s="8" t="str"/>
    </x:row>
    <x:row r="46" ht="66" customHeight="1">
      <x:c r="A46" s="7" t="str">
        <x:v>Q041</x:v>
      </x:c>
      <x:c r="B46" s="7" t="str">
        <x:v>mongodb</x:v>
      </x:c>
      <x:c r="C46" s="7" t="str">
        <x:v>Easy</x:v>
      </x:c>
      <x:c r="D46" s="7" t="str">
        <x:v>When should you embed rather than reference?</x:v>
      </x:c>
      <x:c r="E46" s="8"/>
      <x:c r="F46" s="8" t="str">
        <x:v>Not started</x:v>
      </x:c>
      <x:c r="G46" s="9"/>
      <x:c r="H46" s="10" t="str">
        <x:f>IF(G46="","",G46+Summary!$B$4)</x:f>
      </x:c>
      <x:c r="I46" s="8" t="str"/>
    </x:row>
    <x:row r="47" ht="66" customHeight="1">
      <x:c r="A47" s="4" t="str">
        <x:v>Q042</x:v>
      </x:c>
      <x:c r="B47" s="4" t="str">
        <x:v>mongodb</x:v>
      </x:c>
      <x:c r="C47" s="4" t="str">
        <x:v>Easy</x:v>
      </x:c>
      <x:c r="D47" s="4" t="str">
        <x:v>What does an index do?</x:v>
      </x:c>
      <x:c r="E47" s="8"/>
      <x:c r="F47" s="8" t="str">
        <x:v>Not started</x:v>
      </x:c>
      <x:c r="G47" s="9"/>
      <x:c r="H47" s="11" t="str">
        <x:f>IF(G47="","",G47+Summary!$B$4)</x:f>
      </x:c>
      <x:c r="I47" s="8" t="str"/>
    </x:row>
    <x:row r="48" ht="66" customHeight="1">
      <x:c r="A48" s="7" t="str">
        <x:v>Q043</x:v>
      </x:c>
      <x:c r="B48" s="7" t="str">
        <x:v>mongodb</x:v>
      </x:c>
      <x:c r="C48" s="7" t="str">
        <x:v>Easy</x:v>
      </x:c>
      <x:c r="D48" s="7" t="str">
        <x:v>Is Mongoose unique a validator?</x:v>
      </x:c>
      <x:c r="E48" s="8"/>
      <x:c r="F48" s="8" t="str">
        <x:v>Not started</x:v>
      </x:c>
      <x:c r="G48" s="9"/>
      <x:c r="H48" s="10" t="str">
        <x:f>IF(G48="","",G48+Summary!$B$4)</x:f>
      </x:c>
      <x:c r="I48" s="8" t="str"/>
    </x:row>
    <x:row r="49" ht="66" customHeight="1">
      <x:c r="A49" s="4" t="str">
        <x:v>Q044</x:v>
      </x:c>
      <x:c r="B49" s="4" t="str">
        <x:v>mongodb</x:v>
      </x:c>
      <x:c r="C49" s="4" t="str">
        <x:v>Medium</x:v>
      </x:c>
      <x:c r="D49" s="4" t="str">
        <x:v>Explain a compound index.</x:v>
      </x:c>
      <x:c r="E49" s="8"/>
      <x:c r="F49" s="8" t="str">
        <x:v>Not started</x:v>
      </x:c>
      <x:c r="G49" s="9"/>
      <x:c r="H49" s="11" t="str">
        <x:f>IF(G49="","",G49+Summary!$B$4)</x:f>
      </x:c>
      <x:c r="I49" s="8" t="str"/>
    </x:row>
    <x:row r="50" ht="66" customHeight="1">
      <x:c r="A50" s="7" t="str">
        <x:v>Q045</x:v>
      </x:c>
      <x:c r="B50" s="7" t="str">
        <x:v>mongodb</x:v>
      </x:c>
      <x:c r="C50" s="7" t="str">
        <x:v>Medium</x:v>
      </x:c>
      <x:c r="D50" s="7" t="str">
        <x:v>Compare offset and cursor pagination.</x:v>
      </x:c>
      <x:c r="E50" s="8"/>
      <x:c r="F50" s="8" t="str">
        <x:v>Not started</x:v>
      </x:c>
      <x:c r="G50" s="9"/>
      <x:c r="H50" s="10" t="str">
        <x:f>IF(G50="","",G50+Summary!$B$4)</x:f>
      </x:c>
      <x:c r="I50" s="8" t="str"/>
    </x:row>
    <x:row r="51" ht="66" customHeight="1">
      <x:c r="A51" s="4" t="str">
        <x:v>Q046</x:v>
      </x:c>
      <x:c r="B51" s="4" t="str">
        <x:v>mongodb</x:v>
      </x:c>
      <x:c r="C51" s="4" t="str">
        <x:v>Medium</x:v>
      </x:c>
      <x:c r="D51" s="4" t="str">
        <x:v>When do you need a transaction?</x:v>
      </x:c>
      <x:c r="E51" s="8"/>
      <x:c r="F51" s="8" t="str">
        <x:v>Not started</x:v>
      </x:c>
      <x:c r="G51" s="9"/>
      <x:c r="H51" s="11" t="str">
        <x:f>IF(G51="","",G51+Summary!$B$4)</x:f>
      </x:c>
      <x:c r="I51" s="8" t="str"/>
    </x:row>
    <x:row r="52" ht="66" customHeight="1">
      <x:c r="A52" s="7" t="str">
        <x:v>Q047</x:v>
      </x:c>
      <x:c r="B52" s="7" t="str">
        <x:v>mongodb</x:v>
      </x:c>
      <x:c r="C52" s="7" t="str">
        <x:v>Medium</x:v>
      </x:c>
      <x:c r="D52" s="7" t="str">
        <x:v>What does lean do in Mongoose?</x:v>
      </x:c>
      <x:c r="E52" s="8"/>
      <x:c r="F52" s="8" t="str">
        <x:v>Not started</x:v>
      </x:c>
      <x:c r="G52" s="9"/>
      <x:c r="H52" s="10" t="str">
        <x:f>IF(G52="","",G52+Summary!$B$4)</x:f>
      </x:c>
      <x:c r="I52" s="8" t="str"/>
    </x:row>
    <x:row r="53" ht="66" customHeight="1">
      <x:c r="A53" s="4" t="str">
        <x:v>Q048</x:v>
      </x:c>
      <x:c r="B53" s="4" t="str">
        <x:v>mongodb</x:v>
      </x:c>
      <x:c r="C53" s="4" t="str">
        <x:v>Hard</x:v>
      </x:c>
      <x:c r="D53" s="4" t="str">
        <x:v>How do you prevent selling the same last item twice?</x:v>
      </x:c>
      <x:c r="E53" s="8"/>
      <x:c r="F53" s="8" t="str">
        <x:v>Not started</x:v>
      </x:c>
      <x:c r="G53" s="9"/>
      <x:c r="H53" s="11" t="str">
        <x:f>IF(G53="","",G53+Summary!$B$4)</x:f>
      </x:c>
      <x:c r="I53" s="8" t="str"/>
    </x:row>
    <x:row r="54" ht="66" customHeight="1">
      <x:c r="A54" s="7" t="str">
        <x:v>Q049</x:v>
      </x:c>
      <x:c r="B54" s="7" t="str">
        <x:v>mongodb</x:v>
      </x:c>
      <x:c r="C54" s="7" t="str">
        <x:v>Hard</x:v>
      </x:c>
      <x:c r="D54" s="7" t="str">
        <x:v>How do you detect and prevent lost updates?</x:v>
      </x:c>
      <x:c r="E54" s="8"/>
      <x:c r="F54" s="8" t="str">
        <x:v>Not started</x:v>
      </x:c>
      <x:c r="G54" s="9"/>
      <x:c r="H54" s="10" t="str">
        <x:f>IF(G54="","",G54+Summary!$B$4)</x:f>
      </x:c>
      <x:c r="I54" s="8" t="str"/>
    </x:row>
    <x:row r="55" ht="66" customHeight="1">
      <x:c r="A55" s="4" t="str">
        <x:v>Q050</x:v>
      </x:c>
      <x:c r="B55" s="4" t="str">
        <x:v>mongodb</x:v>
      </x:c>
      <x:c r="C55" s="4" t="str">
        <x:v>Hard</x:v>
      </x:c>
      <x:c r="D55" s="4" t="str">
        <x:v>What can make an aggregation slow?</x:v>
      </x:c>
      <x:c r="E55" s="8"/>
      <x:c r="F55" s="8" t="str">
        <x:v>Not started</x:v>
      </x:c>
      <x:c r="G55" s="9"/>
      <x:c r="H55" s="11" t="str">
        <x:f>IF(G55="","",G55+Summary!$B$4)</x:f>
      </x:c>
      <x:c r="I55" s="8" t="str"/>
    </x:row>
    <x:row r="56" ht="66" customHeight="1">
      <x:c r="A56" s="7" t="str">
        <x:v>Q051</x:v>
      </x:c>
      <x:c r="B56" s="7" t="str">
        <x:v>security-api</x:v>
      </x:c>
      <x:c r="C56" s="7" t="str">
        <x:v>Easy</x:v>
      </x:c>
      <x:c r="D56" s="7" t="str">
        <x:v>Compare authentication and authorization.</x:v>
      </x:c>
      <x:c r="E56" s="8"/>
      <x:c r="F56" s="8" t="str">
        <x:v>Not started</x:v>
      </x:c>
      <x:c r="G56" s="9"/>
      <x:c r="H56" s="10" t="str">
        <x:f>IF(G56="","",G56+Summary!$B$4)</x:f>
      </x:c>
      <x:c r="I56" s="8" t="str"/>
    </x:row>
    <x:row r="57" ht="66" customHeight="1">
      <x:c r="A57" s="4" t="str">
        <x:v>Q052</x:v>
      </x:c>
      <x:c r="B57" s="4" t="str">
        <x:v>security-api</x:v>
      </x:c>
      <x:c r="C57" s="4" t="str">
        <x:v>Easy</x:v>
      </x:c>
      <x:c r="D57" s="4" t="str">
        <x:v>Why hash passwords rather than encrypt them?</x:v>
      </x:c>
      <x:c r="E57" s="8"/>
      <x:c r="F57" s="8" t="str">
        <x:v>Not started</x:v>
      </x:c>
      <x:c r="G57" s="9"/>
      <x:c r="H57" s="11" t="str">
        <x:f>IF(G57="","",G57+Summary!$B$4)</x:f>
      </x:c>
      <x:c r="I57" s="8" t="str"/>
    </x:row>
    <x:row r="58" ht="66" customHeight="1">
      <x:c r="A58" s="7" t="str">
        <x:v>Q053</x:v>
      </x:c>
      <x:c r="B58" s="7" t="str">
        <x:v>security-api</x:v>
      </x:c>
      <x:c r="C58" s="7" t="str">
        <x:v>Easy</x:v>
      </x:c>
      <x:c r="D58" s="7" t="str">
        <x:v>What does CORS protect?</x:v>
      </x:c>
      <x:c r="E58" s="8"/>
      <x:c r="F58" s="8" t="str">
        <x:v>Not started</x:v>
      </x:c>
      <x:c r="G58" s="9"/>
      <x:c r="H58" s="10" t="str">
        <x:f>IF(G58="","",G58+Summary!$B$4)</x:f>
      </x:c>
      <x:c r="I58" s="8" t="str"/>
    </x:row>
    <x:row r="59" ht="66" customHeight="1">
      <x:c r="A59" s="4" t="str">
        <x:v>Q054</x:v>
      </x:c>
      <x:c r="B59" s="4" t="str">
        <x:v>security-api</x:v>
      </x:c>
      <x:c r="C59" s="4" t="str">
        <x:v>Medium</x:v>
      </x:c>
      <x:c r="D59" s="4" t="str">
        <x:v>Where should a browser session token live?</x:v>
      </x:c>
      <x:c r="E59" s="8"/>
      <x:c r="F59" s="8" t="str">
        <x:v>Not started</x:v>
      </x:c>
      <x:c r="G59" s="9"/>
      <x:c r="H59" s="11" t="str">
        <x:f>IF(G59="","",G59+Summary!$B$4)</x:f>
      </x:c>
      <x:c r="I59" s="8" t="str"/>
    </x:row>
    <x:row r="60" ht="66" customHeight="1">
      <x:c r="A60" s="7" t="str">
        <x:v>Q055</x:v>
      </x:c>
      <x:c r="B60" s="7" t="str">
        <x:v>security-api</x:v>
      </x:c>
      <x:c r="C60" s="7" t="str">
        <x:v>Medium</x:v>
      </x:c>
      <x:c r="D60" s="7" t="str">
        <x:v>Why are JWTs not encrypted by default?</x:v>
      </x:c>
      <x:c r="E60" s="8"/>
      <x:c r="F60" s="8" t="str">
        <x:v>Not started</x:v>
      </x:c>
      <x:c r="G60" s="9"/>
      <x:c r="H60" s="10" t="str">
        <x:f>IF(G60="","",G60+Summary!$B$4)</x:f>
      </x:c>
      <x:c r="I60" s="8" t="str"/>
    </x:row>
    <x:row r="61" ht="66" customHeight="1">
      <x:c r="A61" s="4" t="str">
        <x:v>Q056</x:v>
      </x:c>
      <x:c r="B61" s="4" t="str">
        <x:v>security-api</x:v>
      </x:c>
      <x:c r="C61" s="4" t="str">
        <x:v>Medium</x:v>
      </x:c>
      <x:c r="D61" s="4" t="str">
        <x:v>How do you prevent NoSQL injection?</x:v>
      </x:c>
      <x:c r="E61" s="8"/>
      <x:c r="F61" s="8" t="str">
        <x:v>Not started</x:v>
      </x:c>
      <x:c r="G61" s="9"/>
      <x:c r="H61" s="11" t="str">
        <x:f>IF(G61="","",G61+Summary!$B$4)</x:f>
      </x:c>
      <x:c r="I61" s="8" t="str"/>
    </x:row>
    <x:row r="62" ht="66" customHeight="1">
      <x:c r="A62" s="7" t="str">
        <x:v>Q057</x:v>
      </x:c>
      <x:c r="B62" s="7" t="str">
        <x:v>security-api</x:v>
      </x:c>
      <x:c r="C62" s="7" t="str">
        <x:v>Medium</x:v>
      </x:c>
      <x:c r="D62" s="7" t="str">
        <x:v>What makes a REST error useful?</x:v>
      </x:c>
      <x:c r="E62" s="8"/>
      <x:c r="F62" s="8" t="str">
        <x:v>Not started</x:v>
      </x:c>
      <x:c r="G62" s="9"/>
      <x:c r="H62" s="10" t="str">
        <x:f>IF(G62="","",G62+Summary!$B$4)</x:f>
      </x:c>
      <x:c r="I62" s="8" t="str"/>
    </x:row>
    <x:row r="63" ht="66" customHeight="1">
      <x:c r="A63" s="4" t="str">
        <x:v>Q058</x:v>
      </x:c>
      <x:c r="B63" s="4" t="str">
        <x:v>security-api</x:v>
      </x:c>
      <x:c r="C63" s="4" t="str">
        <x:v>Hard</x:v>
      </x:c>
      <x:c r="D63" s="4" t="str">
        <x:v>How do you stop an SSRF attack?</x:v>
      </x:c>
      <x:c r="E63" s="8"/>
      <x:c r="F63" s="8" t="str">
        <x:v>Not started</x:v>
      </x:c>
      <x:c r="G63" s="9"/>
      <x:c r="H63" s="11" t="str">
        <x:f>IF(G63="","",G63+Summary!$B$4)</x:f>
      </x:c>
      <x:c r="I63" s="8" t="str"/>
    </x:row>
    <x:row r="64" ht="66" customHeight="1">
      <x:c r="A64" s="7" t="str">
        <x:v>Q059</x:v>
      </x:c>
      <x:c r="B64" s="7" t="str">
        <x:v>security-api</x:v>
      </x:c>
      <x:c r="C64" s="7" t="str">
        <x:v>Hard</x:v>
      </x:c>
      <x:c r="D64" s="7" t="str">
        <x:v>How do you make a payment webhook idempotent?</x:v>
      </x:c>
      <x:c r="E64" s="8"/>
      <x:c r="F64" s="8" t="str">
        <x:v>Not started</x:v>
      </x:c>
      <x:c r="G64" s="9"/>
      <x:c r="H64" s="10" t="str">
        <x:f>IF(G64="","",G64+Summary!$B$4)</x:f>
      </x:c>
      <x:c r="I64" s="8" t="str"/>
    </x:row>
    <x:row r="65" ht="66" customHeight="1">
      <x:c r="A65" s="4" t="str">
        <x:v>Q060</x:v>
      </x:c>
      <x:c r="B65" s="4" t="str">
        <x:v>security-api</x:v>
      </x:c>
      <x:c r="C65" s="4" t="str">
        <x:v>Hard</x:v>
      </x:c>
      <x:c r="D65" s="4" t="str">
        <x:v>How do you make file uploads safer?</x:v>
      </x:c>
      <x:c r="E65" s="8"/>
      <x:c r="F65" s="8" t="str">
        <x:v>Not started</x:v>
      </x:c>
      <x:c r="G65" s="9"/>
      <x:c r="H65" s="11" t="str">
        <x:f>IF(G65="","",G65+Summary!$B$4)</x:f>
      </x:c>
      <x:c r="I65" s="8" t="str"/>
    </x:row>
    <x:row r="66" ht="66" customHeight="1">
      <x:c r="A66" s="7" t="str">
        <x:v>Q061</x:v>
      </x:c>
      <x:c r="B66" s="7" t="str">
        <x:v>testing-tooling</x:v>
      </x:c>
      <x:c r="C66" s="7" t="str">
        <x:v>Easy</x:v>
      </x:c>
      <x:c r="D66" s="7" t="str">
        <x:v>What should a unit test verify?</x:v>
      </x:c>
      <x:c r="E66" s="8"/>
      <x:c r="F66" s="8" t="str">
        <x:v>Not started</x:v>
      </x:c>
      <x:c r="G66" s="9"/>
      <x:c r="H66" s="10" t="str">
        <x:f>IF(G66="","",G66+Summary!$B$4)</x:f>
      </x:c>
      <x:c r="I66" s="8" t="str"/>
    </x:row>
    <x:row r="67" ht="66" customHeight="1">
      <x:c r="A67" s="4" t="str">
        <x:v>Q062</x:v>
      </x:c>
      <x:c r="B67" s="4" t="str">
        <x:v>testing-tooling</x:v>
      </x:c>
      <x:c r="C67" s="4" t="str">
        <x:v>Easy</x:v>
      </x:c>
      <x:c r="D67" s="4" t="str">
        <x:v>What belongs in an integration test?</x:v>
      </x:c>
      <x:c r="E67" s="8"/>
      <x:c r="F67" s="8" t="str">
        <x:v>Not started</x:v>
      </x:c>
      <x:c r="G67" s="9"/>
      <x:c r="H67" s="11" t="str">
        <x:f>IF(G67="","",G67+Summary!$B$4)</x:f>
      </x:c>
      <x:c r="I67" s="8" t="str"/>
    </x:row>
    <x:row r="68" ht="66" customHeight="1">
      <x:c r="A68" s="7" t="str">
        <x:v>Q063</x:v>
      </x:c>
      <x:c r="B68" s="7" t="str">
        <x:v>testing-tooling</x:v>
      </x:c>
      <x:c r="C68" s="7" t="str">
        <x:v>Easy</x:v>
      </x:c>
      <x:c r="D68" s="7" t="str">
        <x:v>Why commit package-lock.json?</x:v>
      </x:c>
      <x:c r="E68" s="8"/>
      <x:c r="F68" s="8" t="str">
        <x:v>Not started</x:v>
      </x:c>
      <x:c r="G68" s="9"/>
      <x:c r="H68" s="10" t="str">
        <x:f>IF(G68="","",G68+Summary!$B$4)</x:f>
      </x:c>
      <x:c r="I68" s="8" t="str"/>
    </x:row>
    <x:row r="69" ht="66" customHeight="1">
      <x:c r="A69" s="4" t="str">
        <x:v>Q064</x:v>
      </x:c>
      <x:c r="B69" s="4" t="str">
        <x:v>testing-tooling</x:v>
      </x:c>
      <x:c r="C69" s="4" t="str">
        <x:v>Medium</x:v>
      </x:c>
      <x:c r="D69" s="4" t="str">
        <x:v>How should React tests select elements?</x:v>
      </x:c>
      <x:c r="E69" s="8"/>
      <x:c r="F69" s="8" t="str">
        <x:v>Not started</x:v>
      </x:c>
      <x:c r="G69" s="9"/>
      <x:c r="H69" s="11" t="str">
        <x:f>IF(G69="","",G69+Summary!$B$4)</x:f>
      </x:c>
      <x:c r="I69" s="8" t="str"/>
    </x:row>
    <x:row r="70" ht="66" customHeight="1">
      <x:c r="A70" s="7" t="str">
        <x:v>Q065</x:v>
      </x:c>
      <x:c r="B70" s="7" t="str">
        <x:v>testing-tooling</x:v>
      </x:c>
      <x:c r="C70" s="7" t="str">
        <x:v>Medium</x:v>
      </x:c>
      <x:c r="D70" s="7" t="str">
        <x:v>How do fake timers help debounce tests?</x:v>
      </x:c>
      <x:c r="E70" s="8"/>
      <x:c r="F70" s="8" t="str">
        <x:v>Not started</x:v>
      </x:c>
      <x:c r="G70" s="9"/>
      <x:c r="H70" s="10" t="str">
        <x:f>IF(G70="","",G70+Summary!$B$4)</x:f>
      </x:c>
      <x:c r="I70" s="8" t="str"/>
    </x:row>
    <x:row r="71" ht="66" customHeight="1">
      <x:c r="A71" s="4" t="str">
        <x:v>Q066</x:v>
      </x:c>
      <x:c r="B71" s="4" t="str">
        <x:v>testing-tooling</x:v>
      </x:c>
      <x:c r="C71" s="4" t="str">
        <x:v>Medium</x:v>
      </x:c>
      <x:c r="D71" s="4" t="str">
        <x:v>How do you test authorization?</x:v>
      </x:c>
      <x:c r="E71" s="8"/>
      <x:c r="F71" s="8" t="str">
        <x:v>Not started</x:v>
      </x:c>
      <x:c r="G71" s="9"/>
      <x:c r="H71" s="11" t="str">
        <x:f>IF(G71="","",G71+Summary!$B$4)</x:f>
      </x:c>
      <x:c r="I71" s="8" t="str"/>
    </x:row>
    <x:row r="72" ht="66" customHeight="1">
      <x:c r="A72" s="7" t="str">
        <x:v>Q067</x:v>
      </x:c>
      <x:c r="B72" s="7" t="str">
        <x:v>testing-tooling</x:v>
      </x:c>
      <x:c r="C72" s="7" t="str">
        <x:v>Medium</x:v>
      </x:c>
      <x:c r="D72" s="7" t="str">
        <x:v>What makes a useful CI pipeline?</x:v>
      </x:c>
      <x:c r="E72" s="8"/>
      <x:c r="F72" s="8" t="str">
        <x:v>Not started</x:v>
      </x:c>
      <x:c r="G72" s="9"/>
      <x:c r="H72" s="10" t="str">
        <x:f>IF(G72="","",G72+Summary!$B$4)</x:f>
      </x:c>
      <x:c r="I72" s="8" t="str"/>
    </x:row>
    <x:row r="73" ht="66" customHeight="1">
      <x:c r="A73" s="4" t="str">
        <x:v>Q068</x:v>
      </x:c>
      <x:c r="B73" s="4" t="str">
        <x:v>testing-tooling</x:v>
      </x:c>
      <x:c r="C73" s="4" t="str">
        <x:v>Hard</x:v>
      </x:c>
      <x:c r="D73" s="4" t="str">
        <x:v>How do you test concurrency bugs?</x:v>
      </x:c>
      <x:c r="E73" s="8"/>
      <x:c r="F73" s="8" t="str">
        <x:v>Not started</x:v>
      </x:c>
      <x:c r="G73" s="9"/>
      <x:c r="H73" s="11" t="str">
        <x:f>IF(G73="","",G73+Summary!$B$4)</x:f>
      </x:c>
      <x:c r="I73" s="8" t="str"/>
    </x:row>
    <x:row r="74" ht="66" customHeight="1">
      <x:c r="A74" s="7" t="str">
        <x:v>Q069</x:v>
      </x:c>
      <x:c r="B74" s="7" t="str">
        <x:v>testing-tooling</x:v>
      </x:c>
      <x:c r="C74" s="7" t="str">
        <x:v>Hard</x:v>
      </x:c>
      <x:c r="D74" s="7" t="str">
        <x:v>What does test coverage not tell you?</x:v>
      </x:c>
      <x:c r="E74" s="8"/>
      <x:c r="F74" s="8" t="str">
        <x:v>Not started</x:v>
      </x:c>
      <x:c r="G74" s="9"/>
      <x:c r="H74" s="10" t="str">
        <x:f>IF(G74="","",G74+Summary!$B$4)</x:f>
      </x:c>
      <x:c r="I74" s="8" t="str"/>
    </x:row>
    <x:row r="75" ht="66" customHeight="1">
      <x:c r="A75" s="4" t="str">
        <x:v>Q070</x:v>
      </x:c>
      <x:c r="B75" s="4" t="str">
        <x:v>testing-tooling</x:v>
      </x:c>
      <x:c r="C75" s="4" t="str">
        <x:v>Hard</x:v>
      </x:c>
      <x:c r="D75" s="4" t="str">
        <x:v>How do you test a production build?</x:v>
      </x:c>
      <x:c r="E75" s="8"/>
      <x:c r="F75" s="8" t="str">
        <x:v>Not started</x:v>
      </x:c>
      <x:c r="G75" s="9"/>
      <x:c r="H75" s="11" t="str">
        <x:f>IF(G75="","",G75+Summary!$B$4)</x:f>
      </x:c>
      <x:c r="I75" s="8" t="str"/>
    </x:row>
    <x:row r="76" ht="66" customHeight="1">
      <x:c r="A76" s="7" t="str">
        <x:v>Q071</x:v>
      </x:c>
      <x:c r="B76" s="7" t="str">
        <x:v>system-design</x:v>
      </x:c>
      <x:c r="C76" s="7" t="str">
        <x:v>Easy</x:v>
      </x:c>
      <x:c r="D76" s="7" t="str">
        <x:v>How should a design interview start?</x:v>
      </x:c>
      <x:c r="E76" s="8"/>
      <x:c r="F76" s="8" t="str">
        <x:v>Not started</x:v>
      </x:c>
      <x:c r="G76" s="9"/>
      <x:c r="H76" s="10" t="str">
        <x:f>IF(G76="","",G76+Summary!$B$4)</x:f>
      </x:c>
      <x:c r="I76" s="8" t="str"/>
    </x:row>
    <x:row r="77" ht="66" customHeight="1">
      <x:c r="A77" s="4" t="str">
        <x:v>Q072</x:v>
      </x:c>
      <x:c r="B77" s="4" t="str">
        <x:v>system-design</x:v>
      </x:c>
      <x:c r="C77" s="4" t="str">
        <x:v>Easy</x:v>
      </x:c>
      <x:c r="D77" s="4" t="str">
        <x:v>Compare latency and throughput.</x:v>
      </x:c>
      <x:c r="E77" s="8"/>
      <x:c r="F77" s="8" t="str">
        <x:v>Not started</x:v>
      </x:c>
      <x:c r="G77" s="9"/>
      <x:c r="H77" s="11" t="str">
        <x:f>IF(G77="","",G77+Summary!$B$4)</x:f>
      </x:c>
      <x:c r="I77" s="8" t="str"/>
    </x:row>
    <x:row r="78" ht="66" customHeight="1">
      <x:c r="A78" s="7" t="str">
        <x:v>Q073</x:v>
      </x:c>
      <x:c r="B78" s="7" t="str">
        <x:v>system-design</x:v>
      </x:c>
      <x:c r="C78" s="7" t="str">
        <x:v>Easy</x:v>
      </x:c>
      <x:c r="D78" s="7" t="str">
        <x:v>What can a cache get wrong?</x:v>
      </x:c>
      <x:c r="E78" s="8"/>
      <x:c r="F78" s="8" t="str">
        <x:v>Not started</x:v>
      </x:c>
      <x:c r="G78" s="9"/>
      <x:c r="H78" s="10" t="str">
        <x:f>IF(G78="","",G78+Summary!$B$4)</x:f>
      </x:c>
      <x:c r="I78" s="8" t="str"/>
    </x:row>
    <x:row r="79" ht="66" customHeight="1">
      <x:c r="A79" s="4" t="str">
        <x:v>Q074</x:v>
      </x:c>
      <x:c r="B79" s="4" t="str">
        <x:v>system-design</x:v>
      </x:c>
      <x:c r="C79" s="4" t="str">
        <x:v>Medium</x:v>
      </x:c>
      <x:c r="D79" s="4" t="str">
        <x:v>How would you design notifications?</x:v>
      </x:c>
      <x:c r="E79" s="8"/>
      <x:c r="F79" s="8" t="str">
        <x:v>Not started</x:v>
      </x:c>
      <x:c r="G79" s="9"/>
      <x:c r="H79" s="11" t="str">
        <x:f>IF(G79="","",G79+Summary!$B$4)</x:f>
      </x:c>
      <x:c r="I79" s="8" t="str"/>
    </x:row>
    <x:row r="80" ht="66" customHeight="1">
      <x:c r="A80" s="7" t="str">
        <x:v>Q075</x:v>
      </x:c>
      <x:c r="B80" s="7" t="str">
        <x:v>system-design</x:v>
      </x:c>
      <x:c r="C80" s="7" t="str">
        <x:v>Medium</x:v>
      </x:c>
      <x:c r="D80" s="7" t="str">
        <x:v>When would you use a queue?</x:v>
      </x:c>
      <x:c r="E80" s="8"/>
      <x:c r="F80" s="8" t="str">
        <x:v>Not started</x:v>
      </x:c>
      <x:c r="G80" s="9"/>
      <x:c r="H80" s="10" t="str">
        <x:f>IF(G80="","",G80+Summary!$B$4)</x:f>
      </x:c>
      <x:c r="I80" s="8" t="str"/>
    </x:row>
    <x:row r="81" ht="66" customHeight="1">
      <x:c r="A81" s="4" t="str">
        <x:v>Q076</x:v>
      </x:c>
      <x:c r="B81" s="4" t="str">
        <x:v>system-design</x:v>
      </x:c>
      <x:c r="C81" s="4" t="str">
        <x:v>Medium</x:v>
      </x:c>
      <x:c r="D81" s="4" t="str">
        <x:v>How do you scope a multitenant API?</x:v>
      </x:c>
      <x:c r="E81" s="8"/>
      <x:c r="F81" s="8" t="str">
        <x:v>Not started</x:v>
      </x:c>
      <x:c r="G81" s="9"/>
      <x:c r="H81" s="11" t="str">
        <x:f>IF(G81="","",G81+Summary!$B$4)</x:f>
      </x:c>
      <x:c r="I81" s="8" t="str"/>
    </x:row>
    <x:row r="82" ht="66" customHeight="1">
      <x:c r="A82" s="7" t="str">
        <x:v>Q077</x:v>
      </x:c>
      <x:c r="B82" s="7" t="str">
        <x:v>system-design</x:v>
      </x:c>
      <x:c r="C82" s="7" t="str">
        <x:v>Medium</x:v>
      </x:c>
      <x:c r="D82" s="7" t="str">
        <x:v>How do you design a search endpoint?</x:v>
      </x:c>
      <x:c r="E82" s="8"/>
      <x:c r="F82" s="8" t="str">
        <x:v>Not started</x:v>
      </x:c>
      <x:c r="G82" s="9"/>
      <x:c r="H82" s="10" t="str">
        <x:f>IF(G82="","",G82+Summary!$B$4)</x:f>
      </x:c>
      <x:c r="I82" s="8" t="str"/>
    </x:row>
    <x:row r="83" ht="66" customHeight="1">
      <x:c r="A83" s="4" t="str">
        <x:v>Q078</x:v>
      </x:c>
      <x:c r="B83" s="4" t="str">
        <x:v>system-design</x:v>
      </x:c>
      <x:c r="C83" s="4" t="str">
        <x:v>Hard</x:v>
      </x:c>
      <x:c r="D83" s="4" t="str">
        <x:v>Explain an outbox pattern.</x:v>
      </x:c>
      <x:c r="E83" s="8"/>
      <x:c r="F83" s="8" t="str">
        <x:v>Not started</x:v>
      </x:c>
      <x:c r="G83" s="9"/>
      <x:c r="H83" s="11" t="str">
        <x:f>IF(G83="","",G83+Summary!$B$4)</x:f>
      </x:c>
      <x:c r="I83" s="8" t="str"/>
    </x:row>
    <x:row r="84" ht="66" customHeight="1">
      <x:c r="A84" s="7" t="str">
        <x:v>Q079</x:v>
      </x:c>
      <x:c r="B84" s="7" t="str">
        <x:v>system-design</x:v>
      </x:c>
      <x:c r="C84" s="7" t="str">
        <x:v>Hard</x:v>
      </x:c>
      <x:c r="D84" s="7" t="str">
        <x:v>How do you design a rate limiter?</x:v>
      </x:c>
      <x:c r="E84" s="8"/>
      <x:c r="F84" s="8" t="str">
        <x:v>Not started</x:v>
      </x:c>
      <x:c r="G84" s="9"/>
      <x:c r="H84" s="10" t="str">
        <x:f>IF(G84="","",G84+Summary!$B$4)</x:f>
      </x:c>
      <x:c r="I84" s="8" t="str"/>
    </x:row>
    <x:row r="85" ht="66" customHeight="1">
      <x:c r="A85" s="4" t="str">
        <x:v>Q080</x:v>
      </x:c>
      <x:c r="B85" s="4" t="str">
        <x:v>system-design</x:v>
      </x:c>
      <x:c r="C85" s="4" t="str">
        <x:v>Hard</x:v>
      </x:c>
      <x:c r="D85" s="4" t="str">
        <x:v>How do you approach a region outage?</x:v>
      </x:c>
      <x:c r="E85" s="8"/>
      <x:c r="F85" s="8" t="str">
        <x:v>Not started</x:v>
      </x:c>
      <x:c r="G85" s="9"/>
      <x:c r="H85" s="11" t="str">
        <x:f>IF(G85="","",G85+Summary!$B$4)</x:f>
      </x:c>
      <x:c r="I85" s="8" t="str"/>
    </x:row>
    <x:row r="86" ht="66" customHeight="1">
      <x:c r="A86" s="7" t="str">
        <x:v>Q081</x:v>
      </x:c>
      <x:c r="B86" s="7" t="str">
        <x:v>dsa-machine-coding</x:v>
      </x:c>
      <x:c r="C86" s="7" t="str">
        <x:v>Easy</x:v>
      </x:c>
      <x:c r="D86" s="7" t="str">
        <x:v>How do you solve Two Sum in JavaScript?</x:v>
      </x:c>
      <x:c r="E86" s="8"/>
      <x:c r="F86" s="8" t="str">
        <x:v>Not started</x:v>
      </x:c>
      <x:c r="G86" s="9"/>
      <x:c r="H86" s="10" t="str">
        <x:f>IF(G86="","",G86+Summary!$B$4)</x:f>
      </x:c>
      <x:c r="I86" s="8" t="str"/>
    </x:row>
    <x:row r="87" ht="66" customHeight="1">
      <x:c r="A87" s="4" t="str">
        <x:v>Q082</x:v>
      </x:c>
      <x:c r="B87" s="4" t="str">
        <x:v>dsa-machine-coding</x:v>
      </x:c>
      <x:c r="C87" s="4" t="str">
        <x:v>Easy</x:v>
      </x:c>
      <x:c r="D87" s="4" t="str">
        <x:v>When is a sliding window appropriate?</x:v>
      </x:c>
      <x:c r="E87" s="8"/>
      <x:c r="F87" s="8" t="str">
        <x:v>Not started</x:v>
      </x:c>
      <x:c r="G87" s="9"/>
      <x:c r="H87" s="11" t="str">
        <x:f>IF(G87="","",G87+Summary!$B$4)</x:f>
      </x:c>
      <x:c r="I87" s="8" t="str"/>
    </x:row>
    <x:row r="88" ht="66" customHeight="1">
      <x:c r="A88" s="7" t="str">
        <x:v>Q083</x:v>
      </x:c>
      <x:c r="B88" s="7" t="str">
        <x:v>dsa-machine-coding</x:v>
      </x:c>
      <x:c r="C88" s="7" t="str">
        <x:v>Easy</x:v>
      </x:c>
      <x:c r="D88" s="7" t="str">
        <x:v>How do you begin a machine coding round?</x:v>
      </x:c>
      <x:c r="E88" s="8"/>
      <x:c r="F88" s="8" t="str">
        <x:v>Not started</x:v>
      </x:c>
      <x:c r="G88" s="9"/>
      <x:c r="H88" s="10" t="str">
        <x:f>IF(G88="","",G88+Summary!$B$4)</x:f>
      </x:c>
      <x:c r="I88" s="8" t="str"/>
    </x:row>
    <x:row r="89" ht="66" customHeight="1">
      <x:c r="A89" s="4" t="str">
        <x:v>Q084</x:v>
      </x:c>
      <x:c r="B89" s="4" t="str">
        <x:v>dsa-machine-coding</x:v>
      </x:c>
      <x:c r="C89" s="4" t="str">
        <x:v>Medium</x:v>
      </x:c>
      <x:c r="D89" s="4" t="str">
        <x:v>How do you implement a keyboard autocomplete?</x:v>
      </x:c>
      <x:c r="E89" s="8"/>
      <x:c r="F89" s="8" t="str">
        <x:v>Not started</x:v>
      </x:c>
      <x:c r="G89" s="9"/>
      <x:c r="H89" s="11" t="str">
        <x:f>IF(G89="","",G89+Summary!$B$4)</x:f>
      </x:c>
      <x:c r="I89" s="8" t="str"/>
    </x:row>
    <x:row r="90" ht="66" customHeight="1">
      <x:c r="A90" s="7" t="str">
        <x:v>Q085</x:v>
      </x:c>
      <x:c r="B90" s="7" t="str">
        <x:v>dsa-machine-coding</x:v>
      </x:c>
      <x:c r="C90" s="7" t="str">
        <x:v>Medium</x:v>
      </x:c>
      <x:c r="D90" s="7" t="str">
        <x:v>How do you flatten a nested tree?</x:v>
      </x:c>
      <x:c r="E90" s="8"/>
      <x:c r="F90" s="8" t="str">
        <x:v>Not started</x:v>
      </x:c>
      <x:c r="G90" s="9"/>
      <x:c r="H90" s="10" t="str">
        <x:f>IF(G90="","",G90+Summary!$B$4)</x:f>
      </x:c>
      <x:c r="I90" s="8" t="str"/>
    </x:row>
    <x:row r="91" ht="66" customHeight="1">
      <x:c r="A91" s="4" t="str">
        <x:v>Q086</x:v>
      </x:c>
      <x:c r="B91" s="4" t="str">
        <x:v>dsa-machine-coding</x:v>
      </x:c>
      <x:c r="C91" s="4" t="str">
        <x:v>Medium</x:v>
      </x:c>
      <x:c r="D91" s="4" t="str">
        <x:v>How do you implement undo in a task list?</x:v>
      </x:c>
      <x:c r="E91" s="8"/>
      <x:c r="F91" s="8" t="str">
        <x:v>Not started</x:v>
      </x:c>
      <x:c r="G91" s="9"/>
      <x:c r="H91" s="11" t="str">
        <x:f>IF(G91="","",G91+Summary!$B$4)</x:f>
      </x:c>
      <x:c r="I91" s="8" t="str"/>
    </x:row>
    <x:row r="92" ht="66" customHeight="1">
      <x:c r="A92" s="7" t="str">
        <x:v>Q087</x:v>
      </x:c>
      <x:c r="B92" s="7" t="str">
        <x:v>dsa-machine-coding</x:v>
      </x:c>
      <x:c r="C92" s="7" t="str">
        <x:v>Medium</x:v>
      </x:c>
      <x:c r="D92" s="7" t="str">
        <x:v>How would you test a sortable data table?</x:v>
      </x:c>
      <x:c r="E92" s="8"/>
      <x:c r="F92" s="8" t="str">
        <x:v>Not started</x:v>
      </x:c>
      <x:c r="G92" s="9"/>
      <x:c r="H92" s="10" t="str">
        <x:f>IF(G92="","",G92+Summary!$B$4)</x:f>
      </x:c>
      <x:c r="I92" s="8" t="str"/>
    </x:row>
    <x:row r="93" ht="66" customHeight="1">
      <x:c r="A93" s="4" t="str">
        <x:v>Q088</x:v>
      </x:c>
      <x:c r="B93" s="4" t="str">
        <x:v>dsa-machine-coding</x:v>
      </x:c>
      <x:c r="C93" s="4" t="str">
        <x:v>Hard</x:v>
      </x:c>
      <x:c r="D93" s="4" t="str">
        <x:v>How do you build a concurrency-limited promise pool?</x:v>
      </x:c>
      <x:c r="E93" s="8"/>
      <x:c r="F93" s="8" t="str">
        <x:v>Not started</x:v>
      </x:c>
      <x:c r="G93" s="9"/>
      <x:c r="H93" s="11" t="str">
        <x:f>IF(G93="","",G93+Summary!$B$4)</x:f>
      </x:c>
      <x:c r="I93" s="8" t="str"/>
    </x:row>
    <x:row r="94" ht="66" customHeight="1">
      <x:c r="A94" s="7" t="str">
        <x:v>Q089</x:v>
      </x:c>
      <x:c r="B94" s="7" t="str">
        <x:v>dsa-machine-coding</x:v>
      </x:c>
      <x:c r="C94" s="7" t="str">
        <x:v>Hard</x:v>
      </x:c>
      <x:c r="D94" s="7" t="str">
        <x:v>How do you implement an event emitter?</x:v>
      </x:c>
      <x:c r="E94" s="8"/>
      <x:c r="F94" s="8" t="str">
        <x:v>Not started</x:v>
      </x:c>
      <x:c r="G94" s="9"/>
      <x:c r="H94" s="10" t="str">
        <x:f>IF(G94="","",G94+Summary!$B$4)</x:f>
      </x:c>
      <x:c r="I94" s="8" t="str"/>
    </x:row>
    <x:row r="95" ht="66" customHeight="1">
      <x:c r="A95" s="4" t="str">
        <x:v>Q090</x:v>
      </x:c>
      <x:c r="B95" s="4" t="str">
        <x:v>dsa-machine-coding</x:v>
      </x:c>
      <x:c r="C95" s="4" t="str">
        <x:v>Hard</x:v>
      </x:c>
      <x:c r="D95" s="4" t="str">
        <x:v>How do you defend your coding solution?</x:v>
      </x:c>
      <x:c r="E95" s="8"/>
      <x:c r="F95" s="8" t="str">
        <x:v>Not started</x:v>
      </x:c>
      <x:c r="G95" s="9"/>
      <x:c r="H95" s="11" t="str">
        <x:f>IF(G95="","",G95+Summary!$B$4)</x:f>
      </x:c>
      <x:c r="I95" s="8" t="str"/>
    </x:row>
    <x:row r="96" ht="66" customHeight="1">
      <x:c r="A96" s="7" t="str">
        <x:v>Q091</x:v>
      </x:c>
      <x:c r="B96" s="7" t="str">
        <x:v>typescript-career</x:v>
      </x:c>
      <x:c r="C96" s="7" t="str">
        <x:v>Easy</x:v>
      </x:c>
      <x:c r="D96" s="7" t="str">
        <x:v>What does TypeScript guarantee at runtime?</x:v>
      </x:c>
      <x:c r="E96" s="8"/>
      <x:c r="F96" s="8" t="str">
        <x:v>Not started</x:v>
      </x:c>
      <x:c r="G96" s="9"/>
      <x:c r="H96" s="10" t="str">
        <x:f>IF(G96="","",G96+Summary!$B$4)</x:f>
      </x:c>
      <x:c r="I96" s="8" t="str"/>
    </x:row>
    <x:row r="97" ht="66" customHeight="1">
      <x:c r="A97" s="4" t="str">
        <x:v>Q092</x:v>
      </x:c>
      <x:c r="B97" s="4" t="str">
        <x:v>typescript-career</x:v>
      </x:c>
      <x:c r="C97" s="4" t="str">
        <x:v>Easy</x:v>
      </x:c>
      <x:c r="D97" s="4" t="str">
        <x:v>Compare an interface and a type alias.</x:v>
      </x:c>
      <x:c r="E97" s="8"/>
      <x:c r="F97" s="8" t="str">
        <x:v>Not started</x:v>
      </x:c>
      <x:c r="G97" s="9"/>
      <x:c r="H97" s="11" t="str">
        <x:f>IF(G97="","",G97+Summary!$B$4)</x:f>
      </x:c>
      <x:c r="I97" s="8" t="str"/>
    </x:row>
    <x:row r="98" ht="66" customHeight="1">
      <x:c r="A98" s="7" t="str">
        <x:v>Q093</x:v>
      </x:c>
      <x:c r="B98" s="7" t="str">
        <x:v>typescript-career</x:v>
      </x:c>
      <x:c r="C98" s="7" t="str">
        <x:v>Easy</x:v>
      </x:c>
      <x:c r="D98" s="7" t="str">
        <x:v>How should you explain a portfolio project?</x:v>
      </x:c>
      <x:c r="E98" s="8"/>
      <x:c r="F98" s="8" t="str">
        <x:v>Not started</x:v>
      </x:c>
      <x:c r="G98" s="9"/>
      <x:c r="H98" s="10" t="str">
        <x:f>IF(G98="","",G98+Summary!$B$4)</x:f>
      </x:c>
      <x:c r="I98" s="8" t="str"/>
    </x:row>
    <x:row r="99" ht="66" customHeight="1">
      <x:c r="A99" s="4" t="str">
        <x:v>Q094</x:v>
      </x:c>
      <x:c r="B99" s="4" t="str">
        <x:v>typescript-career</x:v>
      </x:c>
      <x:c r="C99" s="4" t="str">
        <x:v>Medium</x:v>
      </x:c>
      <x:c r="D99" s="4" t="str">
        <x:v>What is a discriminated union useful for?</x:v>
      </x:c>
      <x:c r="E99" s="8"/>
      <x:c r="F99" s="8" t="str">
        <x:v>Not started</x:v>
      </x:c>
      <x:c r="G99" s="9"/>
      <x:c r="H99" s="11" t="str">
        <x:f>IF(G99="","",G99+Summary!$B$4)</x:f>
      </x:c>
      <x:c r="I99" s="8" t="str"/>
    </x:row>
    <x:row r="100" ht="66" customHeight="1">
      <x:c r="A100" s="7" t="str">
        <x:v>Q095</x:v>
      </x:c>
      <x:c r="B100" s="7" t="str">
        <x:v>typescript-career</x:v>
      </x:c>
      <x:c r="C100" s="7" t="str">
        <x:v>Medium</x:v>
      </x:c>
      <x:c r="D100" s="7" t="str">
        <x:v>How do generics improve reusable functions?</x:v>
      </x:c>
      <x:c r="E100" s="8"/>
      <x:c r="F100" s="8" t="str">
        <x:v>Not started</x:v>
      </x:c>
      <x:c r="G100" s="9"/>
      <x:c r="H100" s="10" t="str">
        <x:f>IF(G100="","",G100+Summary!$B$4)</x:f>
      </x:c>
      <x:c r="I100" s="8" t="str"/>
    </x:row>
    <x:row r="101" ht="66" customHeight="1">
      <x:c r="A101" s="4" t="str">
        <x:v>Q096</x:v>
      </x:c>
      <x:c r="B101" s="4" t="str">
        <x:v>typescript-career</x:v>
      </x:c>
      <x:c r="C101" s="4" t="str">
        <x:v>Medium</x:v>
      </x:c>
      <x:c r="D101" s="4" t="str">
        <x:v>How should you answer a behavioral failure question?</x:v>
      </x:c>
      <x:c r="E101" s="8"/>
      <x:c r="F101" s="8" t="str">
        <x:v>Not started</x:v>
      </x:c>
      <x:c r="G101" s="9"/>
      <x:c r="H101" s="11" t="str">
        <x:f>IF(G101="","",G101+Summary!$B$4)</x:f>
      </x:c>
      <x:c r="I101" s="8" t="str"/>
    </x:row>
    <x:row r="102" ht="66" customHeight="1">
      <x:c r="A102" s="7" t="str">
        <x:v>Q097</x:v>
      </x:c>
      <x:c r="B102" s="7" t="str">
        <x:v>typescript-career</x:v>
      </x:c>
      <x:c r="C102" s="7" t="str">
        <x:v>Medium</x:v>
      </x:c>
      <x:c r="D102" s="7" t="str">
        <x:v>How should you prepare for an unfamiliar startup?</x:v>
      </x:c>
      <x:c r="E102" s="8"/>
      <x:c r="F102" s="8" t="str">
        <x:v>Not started</x:v>
      </x:c>
      <x:c r="G102" s="9"/>
      <x:c r="H102" s="10" t="str">
        <x:f>IF(G102="","",G102+Summary!$B$4)</x:f>
      </x:c>
      <x:c r="I102" s="8" t="str"/>
    </x:row>
    <x:row r="103" ht="66" customHeight="1">
      <x:c r="A103" s="4" t="str">
        <x:v>Q098</x:v>
      </x:c>
      <x:c r="B103" s="4" t="str">
        <x:v>typescript-career</x:v>
      </x:c>
      <x:c r="C103" s="4" t="str">
        <x:v>Hard</x:v>
      </x:c>
      <x:c r="D103" s="4" t="str">
        <x:v>How do you evaluate a technical tradeoff?</x:v>
      </x:c>
      <x:c r="E103" s="8"/>
      <x:c r="F103" s="8" t="str">
        <x:v>Not started</x:v>
      </x:c>
      <x:c r="G103" s="9"/>
      <x:c r="H103" s="11" t="str">
        <x:f>IF(G103="","",G103+Summary!$B$4)</x:f>
      </x:c>
      <x:c r="I103" s="8" t="str"/>
    </x:row>
    <x:row r="104" ht="66" customHeight="1">
      <x:c r="A104" s="7" t="str">
        <x:v>Q099</x:v>
      </x:c>
      <x:c r="B104" s="7" t="str">
        <x:v>typescript-career</x:v>
      </x:c>
      <x:c r="C104" s="7" t="str">
        <x:v>Hard</x:v>
      </x:c>
      <x:c r="D104" s="7" t="str">
        <x:v>How do you prepare for a project deep dive?</x:v>
      </x:c>
      <x:c r="E104" s="8"/>
      <x:c r="F104" s="8" t="str">
        <x:v>Not started</x:v>
      </x:c>
      <x:c r="G104" s="9"/>
      <x:c r="H104" s="10" t="str">
        <x:f>IF(G104="","",G104+Summary!$B$4)</x:f>
      </x:c>
      <x:c r="I104" s="8" t="str"/>
    </x:row>
    <x:row r="105" ht="66" customHeight="1">
      <x:c r="A105" s="4" t="str">
        <x:v>Q100</x:v>
      </x:c>
      <x:c r="B105" s="4" t="str">
        <x:v>typescript-career</x:v>
      </x:c>
      <x:c r="C105" s="4" t="str">
        <x:v>Hard</x:v>
      </x:c>
      <x:c r="D105" s="4" t="str">
        <x:v>How do you close knowledge gaps without delaying applications forever?</x:v>
      </x:c>
      <x:c r="E105" s="8"/>
      <x:c r="F105" s="8" t="str">
        <x:v>Not started</x:v>
      </x:c>
      <x:c r="G105" s="9"/>
      <x:c r="H105" s="11" t="str">
        <x:f>IF(G105="","",G105+Summary!$B$4)</x:f>
      </x:c>
      <x:c r="I105" s="8" t="str"/>
    </x:row>
  </x:sheetData>
  <x:dataValidations count="2">
    <x:dataValidation type="whole" operator="between" sqref="E6:E105">
      <x:formula1>0</x:formula1>
      <x:formula2>3</x:formula2>
    </x:dataValidation>
    <x:dataValidation type="list" sqref="F6:F105">
      <x:formula1>"Not started,In progress,Reviewed"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23" hidden="0" customWidth="1"/>
    <x:col min="4" max="4" width="40" hidden="0" customWidth="1"/>
    <x:col min="5" max="5" width="22" hidden="0" customWidth="1"/>
    <x:col min="6" max="6" width="20" hidden="0" customWidth="1"/>
    <x:col min="7" max="7" width="20" hidden="0" customWidth="1"/>
    <x:col min="8" max="8" width="65" hidden="0" customWidth="1"/>
  </x:cols>
  <x:sheetData>
    <x:row r="2" ht="38" customHeight="1">
      <x:c r="A2" s="1" t="str">
        <x:v>Timed machine coding attempts</x:v>
      </x:c>
    </x:row>
    <x:row r="3">
      <x:c r="A3" t="str">
        <x:v>Use the handbook rubric; a score is supported by acceptance evidence.</x:v>
      </x:c>
    </x:row>
    <x:row r="5" ht="38" customHeight="1">
      <x:c r="A5" s="6" t="str">
        <x:v>ID</x:v>
      </x:c>
      <x:c r="B5" s="6" t="str">
        <x:v>Difficulty</x:v>
      </x:c>
      <x:c r="C5" s="6" t="str">
        <x:v>Suggested minutes</x:v>
      </x:c>
      <x:c r="D5" s="6" t="str">
        <x:v>Exercise</x:v>
      </x:c>
      <x:c r="E5" s="6" t="str">
        <x:v>Score out of 100</x:v>
      </x:c>
      <x:c r="F5" s="6" t="str">
        <x:v>Status</x:v>
      </x:c>
      <x:c r="G5" s="6" t="str">
        <x:v>Attempt date</x:v>
      </x:c>
      <x:c r="H5" s="6" t="str">
        <x:v>Evidence and next action</x:v>
      </x:c>
    </x:row>
    <x:row r="6" ht="66" customHeight="1">
      <x:c r="A6" s="7" t="str">
        <x:v>MC01</x:v>
      </x:c>
      <x:c r="B6" s="7" t="str">
        <x:v>Easy</x:v>
      </x:c>
      <x:c r="C6" s="7" t="n">
        <x:v>45</x:v>
      </x:c>
      <x:c r="D6" s="7" t="str">
        <x:v>Accessible accordion</x:v>
      </x:c>
      <x:c r="E6" s="8"/>
      <x:c r="F6" s="8" t="str">
        <x:v>Not started</x:v>
      </x:c>
      <x:c r="G6" s="9"/>
      <x:c r="H6" s="8" t="str"/>
    </x:row>
    <x:row r="7" ht="66" customHeight="1">
      <x:c r="A7" s="4" t="str">
        <x:v>MC02</x:v>
      </x:c>
      <x:c r="B7" s="4" t="str">
        <x:v>Easy</x:v>
      </x:c>
      <x:c r="C7" s="4" t="n">
        <x:v>45</x:v>
      </x:c>
      <x:c r="D7" s="4" t="str">
        <x:v>Todo with undo</x:v>
      </x:c>
      <x:c r="E7" s="8"/>
      <x:c r="F7" s="8" t="str">
        <x:v>Not started</x:v>
      </x:c>
      <x:c r="G7" s="9"/>
      <x:c r="H7" s="8" t="str"/>
    </x:row>
    <x:row r="8" ht="66" customHeight="1">
      <x:c r="A8" s="7" t="str">
        <x:v>MC03</x:v>
      </x:c>
      <x:c r="B8" s="7" t="str">
        <x:v>Medium</x:v>
      </x:c>
      <x:c r="C8" s="7" t="n">
        <x:v>60</x:v>
      </x:c>
      <x:c r="D8" s="7" t="str">
        <x:v>Debounced search</x:v>
      </x:c>
      <x:c r="E8" s="8"/>
      <x:c r="F8" s="8" t="str">
        <x:v>Not started</x:v>
      </x:c>
      <x:c r="G8" s="9"/>
      <x:c r="H8" s="8" t="str"/>
    </x:row>
    <x:row r="9" ht="66" customHeight="1">
      <x:c r="A9" s="4" t="str">
        <x:v>MC04</x:v>
      </x:c>
      <x:c r="B9" s="4" t="str">
        <x:v>Medium</x:v>
      </x:c>
      <x:c r="C9" s="4" t="n">
        <x:v>75</x:v>
      </x:c>
      <x:c r="D9" s="4" t="str">
        <x:v>Sortable paginated table</x:v>
      </x:c>
      <x:c r="E9" s="8"/>
      <x:c r="F9" s="8" t="str">
        <x:v>Not started</x:v>
      </x:c>
      <x:c r="G9" s="9"/>
      <x:c r="H9" s="8" t="str"/>
    </x:row>
    <x:row r="10" ht="66" customHeight="1">
      <x:c r="A10" s="7" t="str">
        <x:v>MC05</x:v>
      </x:c>
      <x:c r="B10" s="7" t="str">
        <x:v>Medium</x:v>
      </x:c>
      <x:c r="C10" s="7" t="n">
        <x:v>60</x:v>
      </x:c>
      <x:c r="D10" s="7" t="str">
        <x:v>Modal with focus return</x:v>
      </x:c>
      <x:c r="E10" s="8"/>
      <x:c r="F10" s="8" t="str">
        <x:v>Not started</x:v>
      </x:c>
      <x:c r="G10" s="9"/>
      <x:c r="H10" s="8" t="str"/>
    </x:row>
    <x:row r="11" ht="66" customHeight="1">
      <x:c r="A11" s="4" t="str">
        <x:v>MC06</x:v>
      </x:c>
      <x:c r="B11" s="4" t="str">
        <x:v>Medium</x:v>
      </x:c>
      <x:c r="C11" s="4" t="n">
        <x:v>75</x:v>
      </x:c>
      <x:c r="D11" s="4" t="str">
        <x:v>Shopping cart</x:v>
      </x:c>
      <x:c r="E11" s="8"/>
      <x:c r="F11" s="8" t="str">
        <x:v>Not started</x:v>
      </x:c>
      <x:c r="G11" s="9"/>
      <x:c r="H11" s="8" t="str"/>
    </x:row>
    <x:row r="12" ht="66" customHeight="1">
      <x:c r="A12" s="7" t="str">
        <x:v>MC07</x:v>
      </x:c>
      <x:c r="B12" s="7" t="str">
        <x:v>Medium</x:v>
      </x:c>
      <x:c r="C12" s="7" t="n">
        <x:v>90</x:v>
      </x:c>
      <x:c r="D12" s="7" t="str">
        <x:v>Nested file explorer</x:v>
      </x:c>
      <x:c r="E12" s="8"/>
      <x:c r="F12" s="8" t="str">
        <x:v>Not started</x:v>
      </x:c>
      <x:c r="G12" s="9"/>
      <x:c r="H12" s="8" t="str"/>
    </x:row>
    <x:row r="13" ht="66" customHeight="1">
      <x:c r="A13" s="4" t="str">
        <x:v>MC08</x:v>
      </x:c>
      <x:c r="B13" s="4" t="str">
        <x:v>Medium</x:v>
      </x:c>
      <x:c r="C13" s="4" t="n">
        <x:v>75</x:v>
      </x:c>
      <x:c r="D13" s="4" t="str">
        <x:v>Multi-step form</x:v>
      </x:c>
      <x:c r="E13" s="8"/>
      <x:c r="F13" s="8" t="str">
        <x:v>Not started</x:v>
      </x:c>
      <x:c r="G13" s="9"/>
      <x:c r="H13" s="8" t="str"/>
    </x:row>
    <x:row r="14" ht="66" customHeight="1">
      <x:c r="A14" s="7" t="str">
        <x:v>MC09</x:v>
      </x:c>
      <x:c r="B14" s="7" t="str">
        <x:v>Hard</x:v>
      </x:c>
      <x:c r="C14" s="7" t="n">
        <x:v>90</x:v>
      </x:c>
      <x:c r="D14" s="7" t="str">
        <x:v>Keyboard autocomplete</x:v>
      </x:c>
      <x:c r="E14" s="8"/>
      <x:c r="F14" s="8" t="str">
        <x:v>Not started</x:v>
      </x:c>
      <x:c r="G14" s="9"/>
      <x:c r="H14" s="8" t="str"/>
    </x:row>
    <x:row r="15" ht="66" customHeight="1">
      <x:c r="A15" s="4" t="str">
        <x:v>MC10</x:v>
      </x:c>
      <x:c r="B15" s="4" t="str">
        <x:v>Hard</x:v>
      </x:c>
      <x:c r="C15" s="4" t="n">
        <x:v>90</x:v>
      </x:c>
      <x:c r="D15" s="4" t="str">
        <x:v>Kanban with conflict recovery</x:v>
      </x:c>
      <x:c r="E15" s="8"/>
      <x:c r="F15" s="8" t="str">
        <x:v>Not started</x:v>
      </x:c>
      <x:c r="G15" s="9"/>
      <x:c r="H15" s="8" t="str"/>
    </x:row>
    <x:row r="16" ht="66" customHeight="1">
      <x:c r="A16" s="7" t="str">
        <x:v>MC11</x:v>
      </x:c>
      <x:c r="B16" s="7" t="str">
        <x:v>Hard</x:v>
      </x:c>
      <x:c r="C16" s="7" t="n">
        <x:v>75</x:v>
      </x:c>
      <x:c r="D16" s="7" t="str">
        <x:v>Promise pool</x:v>
      </x:c>
      <x:c r="E16" s="8"/>
      <x:c r="F16" s="8" t="str">
        <x:v>Not started</x:v>
      </x:c>
      <x:c r="G16" s="9"/>
      <x:c r="H16" s="8" t="str"/>
    </x:row>
    <x:row r="17" ht="66" customHeight="1">
      <x:c r="A17" s="4" t="str">
        <x:v>MC12</x:v>
      </x:c>
      <x:c r="B17" s="4" t="str">
        <x:v>Hard</x:v>
      </x:c>
      <x:c r="C17" s="4" t="n">
        <x:v>75</x:v>
      </x:c>
      <x:c r="D17" s="4" t="str">
        <x:v>LRU with TTL extension</x:v>
      </x:c>
      <x:c r="E17" s="8"/>
      <x:c r="F17" s="8" t="str">
        <x:v>Not started</x:v>
      </x:c>
      <x:c r="G17" s="9"/>
      <x:c r="H17" s="8" t="str"/>
    </x:row>
    <x:row r="18" ht="66" customHeight="1">
      <x:c r="A18" s="7" t="str">
        <x:v>MC13</x:v>
      </x:c>
      <x:c r="B18" s="7" t="str">
        <x:v>Medium</x:v>
      </x:c>
      <x:c r="C18" s="7" t="n">
        <x:v>90</x:v>
      </x:c>
      <x:c r="D18" s="7" t="str">
        <x:v>Protected CRUD API</x:v>
      </x:c>
      <x:c r="E18" s="8"/>
      <x:c r="F18" s="8" t="str">
        <x:v>Not started</x:v>
      </x:c>
      <x:c r="G18" s="9"/>
      <x:c r="H18" s="8" t="str"/>
    </x:row>
    <x:row r="19" ht="66" customHeight="1">
      <x:c r="A19" s="4" t="str">
        <x:v>MC14</x:v>
      </x:c>
      <x:c r="B19" s="4" t="str">
        <x:v>Hard</x:v>
      </x:c>
      <x:c r="C19" s="4" t="n">
        <x:v>120</x:v>
      </x:c>
      <x:c r="D19" s="4" t="str">
        <x:v>Inventory reservation API</x:v>
      </x:c>
      <x:c r="E19" s="8"/>
      <x:c r="F19" s="8" t="str">
        <x:v>Not started</x:v>
      </x:c>
      <x:c r="G19" s="9"/>
      <x:c r="H19" s="8" t="str"/>
    </x:row>
    <x:row r="20" ht="66" customHeight="1">
      <x:c r="A20" s="7" t="str">
        <x:v>MC15</x:v>
      </x:c>
      <x:c r="B20" s="7" t="str">
        <x:v>Hard</x:v>
      </x:c>
      <x:c r="C20" s="7" t="n">
        <x:v>90</x:v>
      </x:c>
      <x:c r="D20" s="7" t="str">
        <x:v>Notification center</x:v>
      </x:c>
      <x:c r="E20" s="8"/>
      <x:c r="F20" s="8" t="str">
        <x:v>Not started</x:v>
      </x:c>
      <x:c r="G20" s="9"/>
      <x:c r="H20" s="8" t="str"/>
    </x:row>
    <x:row r="21" ht="66" customHeight="1">
      <x:c r="A21" s="4" t="str">
        <x:v>MC16</x:v>
      </x:c>
      <x:c r="B21" s="4" t="str">
        <x:v>Hard</x:v>
      </x:c>
      <x:c r="C21" s="4" t="n">
        <x:v>120</x:v>
      </x:c>
      <x:c r="D21" s="4" t="str">
        <x:v>Expense dashboard</x:v>
      </x:c>
      <x:c r="E21" s="8"/>
      <x:c r="F21" s="8" t="str">
        <x:v>Not started</x:v>
      </x:c>
      <x:c r="G21" s="9"/>
      <x:c r="H21" s="8" t="str"/>
    </x:row>
  </x:sheetData>
  <x:dataValidations count="2">
    <x:dataValidation type="whole" operator="between" sqref="E6:E21">
      <x:formula1>0</x:formula1>
      <x:formula2>100</x:formula2>
    </x:dataValidation>
    <x:dataValidation type="list" sqref="F6:F21">
      <x:formula1>"Not started,In progress,Completed"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70" hidden="0" customWidth="1"/>
    <x:col min="4" max="4" width="20" hidden="0" customWidth="1"/>
    <x:col min="5" max="5" width="55" hidden="0" customWidth="1"/>
  </x:cols>
  <x:sheetData>
    <x:row r="2" ht="38" customHeight="1">
      <x:c r="A2" s="1" t="str">
        <x:v>Twelve week study plan</x:v>
      </x:c>
    </x:row>
    <x:row r="5" ht="38" customHeight="1">
      <x:c r="A5" s="6" t="str">
        <x:v>Week</x:v>
      </x:c>
      <x:c r="B5" s="6" t="str">
        <x:v>Focus</x:v>
      </x:c>
      <x:c r="C5" s="6" t="str">
        <x:v>Exit evidence</x:v>
      </x:c>
      <x:c r="D5" s="6" t="str">
        <x:v>Status</x:v>
      </x:c>
      <x:c r="E5" s="6" t="str">
        <x:v>Your next action</x:v>
      </x:c>
    </x:row>
    <x:row r="6" ht="66" customHeight="1">
      <x:c r="A6" s="7" t="n">
        <x:v>1</x:v>
      </x:c>
      <x:c r="B6" s="7" t="str">
        <x:v>Web and HTML</x:v>
      </x:c>
      <x:c r="C6" s="7" t="str">
        <x:v>Trace a request and complete a semantic form</x:v>
      </x:c>
      <x:c r="D6" s="8" t="str">
        <x:v>Not started</x:v>
      </x:c>
      <x:c r="E6" s="8" t="str"/>
    </x:row>
    <x:row r="7" ht="66" customHeight="1">
      <x:c r="A7" s="4" t="n">
        <x:v>2</x:v>
      </x:c>
      <x:c r="B7" s="4" t="str">
        <x:v>CSS and accessibility</x:v>
      </x:c>
      <x:c r="C7" s="4" t="str">
        <x:v>Responsive layout at 320px and 200 percent zoom</x:v>
      </x:c>
      <x:c r="D7" s="8" t="str">
        <x:v>Not started</x:v>
      </x:c>
      <x:c r="E7" s="8" t="str"/>
    </x:row>
    <x:row r="8" ht="66" customHeight="1">
      <x:c r="A8" s="7" t="n">
        <x:v>3</x:v>
      </x:c>
      <x:c r="B8" s="7" t="str">
        <x:v>JavaScript values and functions</x:v>
      </x:c>
      <x:c r="C8" s="7" t="str">
        <x:v>Explain five outputs and an immutable update</x:v>
      </x:c>
      <x:c r="D8" s="8" t="str">
        <x:v>Not started</x:v>
      </x:c>
      <x:c r="E8" s="8" t="str"/>
    </x:row>
    <x:row r="9" ht="66" customHeight="1">
      <x:c r="A9" s="4" t="n">
        <x:v>4</x:v>
      </x:c>
      <x:c r="B9" s="4" t="str">
        <x:v>Async and algorithms</x:v>
      </x:c>
      <x:c r="C9" s="4" t="str">
        <x:v>Utility tests and explicit failure behavior</x:v>
      </x:c>
      <x:c r="D9" s="8" t="str">
        <x:v>Not started</x:v>
      </x:c>
      <x:c r="E9" s="8" t="str"/>
    </x:row>
    <x:row r="10" ht="66" customHeight="1">
      <x:c r="A10" s="7" t="n">
        <x:v>5</x:v>
      </x:c>
      <x:c r="B10" s="7" t="str">
        <x:v>React state</x:v>
      </x:c>
      <x:c r="C10" s="7" t="str">
        <x:v>Explain owners and preserve form drafts</x:v>
      </x:c>
      <x:c r="D10" s="8" t="str">
        <x:v>Not started</x:v>
      </x:c>
      <x:c r="E10" s="8" t="str"/>
    </x:row>
    <x:row r="11" ht="66" customHeight="1">
      <x:c r="A11" s="4" t="n">
        <x:v>6</x:v>
      </x:c>
      <x:c r="B11" s="4" t="str">
        <x:v>React async and coding</x:v>
      </x:c>
      <x:c r="C11" s="4" t="str">
        <x:v>Latest query wins in a timed build</x:v>
      </x:c>
      <x:c r="D11" s="8" t="str">
        <x:v>Not started</x:v>
      </x:c>
      <x:c r="E11" s="8" t="str"/>
    </x:row>
    <x:row r="12" ht="66" customHeight="1">
      <x:c r="A12" s="7" t="n">
        <x:v>7</x:v>
      </x:c>
      <x:c r="B12" s="7" t="str">
        <x:v>Node and Express</x:v>
      </x:c>
      <x:c r="C12" s="7" t="str">
        <x:v>Protected API rejects invalid requests</x:v>
      </x:c>
      <x:c r="D12" s="8" t="str">
        <x:v>Not started</x:v>
      </x:c>
      <x:c r="E12" s="8" t="str"/>
    </x:row>
    <x:row r="13" ht="66" customHeight="1">
      <x:c r="A13" s="4" t="n">
        <x:v>8</x:v>
      </x:c>
      <x:c r="B13" s="4" t="str">
        <x:v>MongoDB</x:v>
      </x:c>
      <x:c r="C13" s="4" t="str">
        <x:v>Real concurrent write and index evidence</x:v>
      </x:c>
      <x:c r="D13" s="8" t="str">
        <x:v>Not started</x:v>
      </x:c>
      <x:c r="E13" s="8" t="str"/>
    </x:row>
    <x:row r="14" ht="66" customHeight="1">
      <x:c r="A14" s="7" t="n">
        <x:v>9</x:v>
      </x:c>
      <x:c r="B14" s="7" t="str">
        <x:v>Security and integration</x:v>
      </x:c>
      <x:c r="C14" s="7" t="str">
        <x:v>Two-user isolation and session revocation</x:v>
      </x:c>
      <x:c r="D14" s="8" t="str">
        <x:v>Not started</x:v>
      </x:c>
      <x:c r="E14" s="8" t="str"/>
    </x:row>
    <x:row r="15" ht="66" customHeight="1">
      <x:c r="A15" s="4" t="n">
        <x:v>10</x:v>
      </x:c>
      <x:c r="B15" s="4" t="str">
        <x:v>Testing and delivery</x:v>
      </x:c>
      <x:c r="C15" s="4" t="str">
        <x:v>Clean build and browser failure recovery</x:v>
      </x:c>
      <x:c r="D15" s="8" t="str">
        <x:v>Not started</x:v>
      </x:c>
      <x:c r="E15" s="8" t="str"/>
    </x:row>
    <x:row r="16" ht="66" customHeight="1">
      <x:c r="A16" s="7" t="n">
        <x:v>11</x:v>
      </x:c>
      <x:c r="B16" s="7" t="str">
        <x:v>Design and company prep</x:v>
      </x:c>
      <x:c r="C16" s="7" t="str">
        <x:v>Project trace and a justified alternative</x:v>
      </x:c>
      <x:c r="D16" s="8" t="str">
        <x:v>Not started</x:v>
      </x:c>
      <x:c r="E16" s="8" t="str"/>
    </x:row>
    <x:row r="17" ht="66" customHeight="1">
      <x:c r="A17" s="4" t="n">
        <x:v>12</x:v>
      </x:c>
      <x:c r="B17" s="4" t="str">
        <x:v>Mock interviews</x:v>
      </x:c>
      <x:c r="C17" s="4" t="str">
        <x:v>Redo one observed weak exercise</x:v>
      </x:c>
      <x:c r="D17" s="8" t="str">
        <x:v>Not started</x:v>
      </x:c>
      <x:c r="E17" s="8" t="str"/>
    </x:row>
  </x:sheetData>
  <x:dataValidations count="1">
    <x:dataValidation type="list" sqref="D6:D17">
      <x:formula1>"Not started,In progress,Completed"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42" hidden="0" customWidth="1"/>
    <x:col min="3" max="3" width="85" hidden="0" customWidth="1"/>
    <x:col min="4" max="4" width="30" hidden="0" customWidth="1"/>
    <x:col min="5" max="5" width="40" hidden="0" customWidth="1"/>
    <x:col min="6" max="6" width="75" hidden="0" customWidth="1"/>
  </x:cols>
  <x:sheetData>
    <x:row r="2" ht="38" customHeight="1">
      <x:c r="A2" s="1" t="str">
        <x:v>Learning resources reviewed 2026-10-08</x:v>
      </x:c>
    </x:row>
    <x:row r="3">
      <x:c r="A3" t="str">
        <x:v>Sources are the linked publishers. Pricing and availability can change; consult the repository catalog for partial checks.</x:v>
      </x:c>
    </x:row>
    <x:row r="5" ht="38" customHeight="1">
      <x:c r="A5" s="6" t="str">
        <x:v>Topic</x:v>
      </x:c>
      <x:c r="B5" s="6" t="str">
        <x:v>Resource</x:v>
      </x:c>
      <x:c r="C5" s="6" t="str">
        <x:v>URL</x:v>
      </x:c>
      <x:c r="D5" s="6" t="str">
        <x:v>Level</x:v>
      </x:c>
      <x:c r="E5" s="6" t="str">
        <x:v>Access</x:v>
      </x:c>
      <x:c r="F5" s="6" t="str">
        <x:v>Use</x:v>
      </x:c>
    </x:row>
    <x:row r="6" ht="66" customHeight="1">
      <x:c r="A6" s="7" t="str">
        <x:v>Web fundamentals</x:v>
      </x:c>
      <x:c r="B6" s="7" t="str">
        <x:v>MDN learning curriculum</x:v>
      </x:c>
      <x:c r="C6" s="7" t="str">
        <x:v>https://developer.mozilla.org/en-US/docs/Learn_web_development</x:v>
      </x:c>
      <x:c r="D6" s="7" t="str">
        <x:v>Beginner</x:v>
      </x:c>
      <x:c r="E6" s="7" t="str">
        <x:v>Free</x:v>
      </x:c>
      <x:c r="F6" s="7" t="str">
        <x:v>Start with core modules; recreate each exercise without looking.</x:v>
      </x:c>
    </x:row>
    <x:row r="7" ht="66" customHeight="1">
      <x:c r="A7" s="4" t="str">
        <x:v>HTML CSS JS</x:v>
      </x:c>
      <x:c r="B7" s="4" t="str">
        <x:v>web.dev courses</x:v>
      </x:c>
      <x:c r="C7" s="4" t="str">
        <x:v>https://web.dev/learn</x:v>
      </x:c>
      <x:c r="D7" s="4" t="str">
        <x:v>Beginner to advanced</x:v>
      </x:c>
      <x:c r="E7" s="4" t="str">
        <x:v>Free</x:v>
      </x:c>
      <x:c r="F7" s="4" t="str">
        <x:v>Use HTML, CSS, forms, accessibility, and performance tracks.</x:v>
      </x:c>
    </x:row>
    <x:row r="8" ht="66" customHeight="1">
      <x:c r="A8" s="7" t="str">
        <x:v>JavaScript</x:v>
      </x:c>
      <x:c r="B8" s="7" t="str">
        <x:v>JavaScript.info</x:v>
      </x:c>
      <x:c r="C8" s="7" t="str">
        <x:v>https://javascript.info/</x:v>
      </x:c>
      <x:c r="D8" s="7" t="str">
        <x:v>Beginner to advanced</x:v>
      </x:c>
      <x:c r="E8" s="7" t="str">
        <x:v>Free web; optional paid ebooks</x:v>
      </x:c>
      <x:c r="F8" s="7" t="str">
        <x:v>Work through language, DOM, and asynchronous exercises.</x:v>
      </x:c>
    </x:row>
    <x:row r="9" ht="66" customHeight="1">
      <x:c r="A9" s="4" t="str">
        <x:v>Full stack</x:v>
      </x:c>
      <x:c r="B9" s="4" t="str">
        <x:v>Full Stack Open</x:v>
      </x:c>
      <x:c r="C9" s="4" t="str">
        <x:v>https://fullstackopen.com/en/</x:v>
      </x:c>
      <x:c r="D9" s="4" t="str">
        <x:v>Intermediate</x:v>
      </x:c>
      <x:c r="E9" s="4" t="str">
        <x:v>Free</x:v>
      </x:c>
      <x:c r="F9" s="4" t="str">
        <x:v>Complete React and Node exercises after JavaScript fundamentals.</x:v>
      </x:c>
    </x:row>
    <x:row r="10" ht="66" customHeight="1">
      <x:c r="A10" s="7" t="str">
        <x:v>Full stack</x:v>
      </x:c>
      <x:c r="B10" s="7" t="str">
        <x:v>The Odin Project JavaScript path</x:v>
      </x:c>
      <x:c r="C10" s="7" t="str">
        <x:v>https://www.theodinproject.com/paths/full-stack-javascript</x:v>
      </x:c>
      <x:c r="D10" s="7" t="str">
        <x:v>Beginner to intermediate</x:v>
      </x:c>
      <x:c r="E10" s="7" t="str">
        <x:v>Free</x:v>
      </x:c>
      <x:c r="F10" s="7" t="str">
        <x:v>Use project assignments for independent builds.</x:v>
      </x:c>
    </x:row>
    <x:row r="11" ht="66" customHeight="1">
      <x:c r="A11" s="4" t="str">
        <x:v>React</x:v>
      </x:c>
      <x:c r="B11" s="4" t="str">
        <x:v>React Learn</x:v>
      </x:c>
      <x:c r="C11" s="4" t="str">
        <x:v>https://react.dev/learn</x:v>
      </x:c>
      <x:c r="D11" s="4" t="str">
        <x:v>Beginner to advanced</x:v>
      </x:c>
      <x:c r="E11" s="4" t="str">
        <x:v>Free</x:v>
      </x:c>
      <x:c r="F11" s="4" t="str">
        <x:v>Build the examples and explain state transitions aloud.</x:v>
      </x:c>
    </x:row>
    <x:row r="12" ht="66" customHeight="1">
      <x:c r="A12" s="7" t="str">
        <x:v>React</x:v>
      </x:c>
      <x:c r="B12" s="7" t="str">
        <x:v>You Might Not Need an Effect</x:v>
      </x:c>
      <x:c r="C12" s="7" t="str">
        <x:v>https://react.dev/learn/you-might-not-need-an-effect</x:v>
      </x:c>
      <x:c r="D12" s="7" t="str">
        <x:v>Intermediate</x:v>
      </x:c>
      <x:c r="E12" s="7" t="str">
        <x:v>Free</x:v>
      </x:c>
      <x:c r="F12" s="7" t="str">
        <x:v>Review each effect in your project and justify its external synchronization.</x:v>
      </x:c>
    </x:row>
    <x:row r="13" ht="66" customHeight="1">
      <x:c r="A13" s="4" t="str">
        <x:v>Node</x:v>
      </x:c>
      <x:c r="B13" s="4" t="str">
        <x:v>Node Learn</x:v>
      </x:c>
      <x:c r="C13" s="4" t="str">
        <x:v>https://nodejs.org/en/learn/getting-started/introduction-to-nodejs</x:v>
      </x:c>
      <x:c r="D13" s="4" t="str">
        <x:v>Beginner to advanced</x:v>
      </x:c>
      <x:c r="E13" s="4" t="str">
        <x:v>Free</x:v>
      </x:c>
      <x:c r="F13" s="4" t="str">
        <x:v>Study runtime behavior alongside a small API.</x:v>
      </x:c>
    </x:row>
    <x:row r="14" ht="66" customHeight="1">
      <x:c r="A14" s="7" t="str">
        <x:v>Express</x:v>
      </x:c>
      <x:c r="B14" s="7" t="str">
        <x:v>Express installation and guides</x:v>
      </x:c>
      <x:c r="C14" s="7" t="str">
        <x:v>https://expressjs.com/en/starter/installing.html</x:v>
      </x:c>
      <x:c r="D14" s="7" t="str">
        <x:v>Beginner to intermediate</x:v>
      </x:c>
      <x:c r="E14" s="7" t="str">
        <x:v>Free</x:v>
      </x:c>
      <x:c r="F14" s="7" t="str">
        <x:v>Check the installed major version before following older tutorials.</x:v>
      </x:c>
    </x:row>
    <x:row r="15" ht="66" customHeight="1">
      <x:c r="A15" s="4" t="str">
        <x:v>MongoDB</x:v>
      </x:c>
      <x:c r="B15" s="4" t="str">
        <x:v>MongoDB manual getting started</x:v>
      </x:c>
      <x:c r="C15" s="4" t="str">
        <x:v>https://www.mongodb.com/docs/manual/tutorial/getting-started/</x:v>
      </x:c>
      <x:c r="D15" s="4" t="str">
        <x:v>Beginner</x:v>
      </x:c>
      <x:c r="E15" s="4" t="str">
        <x:v>Free docs; hosted usage may cost</x:v>
      </x:c>
      <x:c r="F15" s="4" t="str">
        <x:v>Practice CRUD on a local or test database.</x:v>
      </x:c>
    </x:row>
    <x:row r="16" ht="66" customHeight="1">
      <x:c r="A16" s="7" t="str">
        <x:v>MongoDB</x:v>
      </x:c>
      <x:c r="B16" s="7" t="str">
        <x:v>Atomicity and transactions</x:v>
      </x:c>
      <x:c r="C16" s="7" t="str">
        <x:v>https://www.mongodb.com/docs/manual/core/write-operations-atomicity/</x:v>
      </x:c>
      <x:c r="D16" s="7" t="str">
        <x:v>Advanced</x:v>
      </x:c>
      <x:c r="E16" s="7" t="str">
        <x:v>Free</x:v>
      </x:c>
      <x:c r="F16" s="7" t="str">
        <x:v>Test concurrent writes rather than relying on a diagram.</x:v>
      </x:c>
    </x:row>
    <x:row r="17" ht="66" customHeight="1">
      <x:c r="A17" s="4" t="str">
        <x:v>Mongoose</x:v>
      </x:c>
      <x:c r="B17" s="4" t="str">
        <x:v>Mongoose schemas guide</x:v>
      </x:c>
      <x:c r="C17" s="4" t="str">
        <x:v>https://mongoosejs.com/docs/guide.html</x:v>
      </x:c>
      <x:c r="D17" s="4" t="str">
        <x:v>Intermediate</x:v>
      </x:c>
      <x:c r="E17" s="4" t="str">
        <x:v>Free</x:v>
      </x:c>
      <x:c r="F17" s="4" t="str">
        <x:v>Compare validation, indexes, and update behavior.</x:v>
      </x:c>
    </x:row>
    <x:row r="18" ht="66" customHeight="1">
      <x:c r="A18" s="7" t="str">
        <x:v>TypeScript</x:v>
      </x:c>
      <x:c r="B18" s="7" t="str">
        <x:v>TypeScript handbook</x:v>
      </x:c>
      <x:c r="C18" s="7" t="str">
        <x:v>https://www.typescriptlang.org/docs/</x:v>
      </x:c>
      <x:c r="D18" s="7" t="str">
        <x:v>Beginner to advanced</x:v>
      </x:c>
      <x:c r="E18" s="7" t="str">
        <x:v>Free</x:v>
      </x:c>
      <x:c r="F18" s="7" t="str">
        <x:v>Port one reducer and validate external data at runtime.</x:v>
      </x:c>
    </x:row>
    <x:row r="19" ht="66" customHeight="1">
      <x:c r="A19" s="4" t="str">
        <x:v>Testing</x:v>
      </x:c>
      <x:c r="B19" s="4" t="str">
        <x:v>React Testing Library</x:v>
      </x:c>
      <x:c r="C19" s="4" t="str">
        <x:v>https://testing-library.com/docs/react-testing-library/intro/</x:v>
      </x:c>
      <x:c r="D19" s="4" t="str">
        <x:v>Intermediate</x:v>
      </x:c>
      <x:c r="E19" s="4" t="str">
        <x:v>Free</x:v>
      </x:c>
      <x:c r="F19" s="4" t="str">
        <x:v>Test visible outcomes through accessible roles.</x:v>
      </x:c>
    </x:row>
    <x:row r="20" ht="66" customHeight="1">
      <x:c r="A20" s="7" t="str">
        <x:v>Testing</x:v>
      </x:c>
      <x:c r="B20" s="7" t="str">
        <x:v>Playwright documentation</x:v>
      </x:c>
      <x:c r="C20" s="7" t="str">
        <x:v>https://playwright.dev/docs/intro</x:v>
      </x:c>
      <x:c r="D20" s="7" t="str">
        <x:v>Intermediate</x:v>
      </x:c>
      <x:c r="E20" s="7" t="str">
        <x:v>Free</x:v>
      </x:c>
      <x:c r="F20" s="7" t="str">
        <x:v>Test the built app and keyboard workflows.</x:v>
      </x:c>
    </x:row>
    <x:row r="21" ht="66" customHeight="1">
      <x:c r="A21" s="4" t="str">
        <x:v>Build tools</x:v>
      </x:c>
      <x:c r="B21" s="4" t="str">
        <x:v>Vite guide</x:v>
      </x:c>
      <x:c r="C21" s="4" t="str">
        <x:v>https://vite.dev/guide/</x:v>
      </x:c>
      <x:c r="D21" s="4" t="str">
        <x:v>Beginner to intermediate</x:v>
      </x:c>
      <x:c r="E21" s="4" t="str">
        <x:v>Free</x:v>
      </x:c>
      <x:c r="F21" s="4" t="str">
        <x:v>Understand development proxy versus production hosting.</x:v>
      </x:c>
    </x:row>
    <x:row r="22" ht="66" customHeight="1">
      <x:c r="A22" s="7" t="str">
        <x:v>Security</x:v>
      </x:c>
      <x:c r="B22" s="7" t="str">
        <x:v>OWASP Cheat Sheet Series</x:v>
      </x:c>
      <x:c r="C22" s="7" t="str">
        <x:v>https://cheatsheetseries.owasp.org/</x:v>
      </x:c>
      <x:c r="D22" s="7" t="str">
        <x:v>Intermediate to advanced</x:v>
      </x:c>
      <x:c r="E22" s="7" t="str">
        <x:v>Free</x:v>
      </x:c>
      <x:c r="F22" s="7" t="str">
        <x:v>Use targeted authentication, session, CSRF, and input-validation references.</x:v>
      </x:c>
    </x:row>
    <x:row r="23" ht="66" customHeight="1">
      <x:c r="A23" s="4" t="str">
        <x:v>Accessibility</x:v>
      </x:c>
      <x:c r="B23" s="4" t="str">
        <x:v>WAI tutorials</x:v>
      </x:c>
      <x:c r="C23" s="4" t="str">
        <x:v>https://www.w3.org/WAI/tutorials/</x:v>
      </x:c>
      <x:c r="D23" s="4" t="str">
        <x:v>Beginner to advanced</x:v>
      </x:c>
      <x:c r="E23" s="4" t="str">
        <x:v>Free</x:v>
      </x:c>
      <x:c r="F23" s="4" t="str">
        <x:v>Review forms, images, tables, and page structure.</x:v>
      </x:c>
    </x:row>
    <x:row r="24" ht="66" customHeight="1">
      <x:c r="A24" s="7" t="str">
        <x:v>Git</x:v>
      </x:c>
      <x:c r="B24" s="7" t="str">
        <x:v>Pro Git book</x:v>
      </x:c>
      <x:c r="C24" s="7" t="str">
        <x:v>https://git-scm.com/book/en/v2</x:v>
      </x:c>
      <x:c r="D24" s="7" t="str">
        <x:v>Beginner to advanced</x:v>
      </x:c>
      <x:c r="E24" s="7" t="str">
        <x:v>Free</x:v>
      </x:c>
      <x:c r="F24" s="7" t="str">
        <x:v>Practice branches, conflict resolution, and recovery in a sandbox repository.</x:v>
      </x:c>
    </x:row>
    <x:row r="25" ht="66" customHeight="1">
      <x:c r="A25" s="4" t="str">
        <x:v>API contracts</x:v>
      </x:c>
      <x:c r="B25" s="4" t="str">
        <x:v>OpenAPI specification</x:v>
      </x:c>
      <x:c r="C25" s="4" t="str">
        <x:v>https://spec.openapis.org/oas/latest.html</x:v>
      </x:c>
      <x:c r="D25" s="4" t="str">
        <x:v>Intermediate</x:v>
      </x:c>
      <x:c r="E25" s="4" t="str">
        <x:v>Free</x:v>
      </x:c>
      <x:c r="F25" s="4" t="str">
        <x:v>Write and validate a small API contract.</x:v>
      </x:c>
    </x:row>
    <x:row r="26" ht="66" customHeight="1">
      <x:c r="A26" s="7" t="str">
        <x:v>Practice</x:v>
      </x:c>
      <x:c r="B26" s="7" t="str">
        <x:v>freeCodeCamp</x:v>
      </x:c>
      <x:c r="C26" s="7" t="str">
        <x:v>https://www.freecodecamp.org/learn/</x:v>
      </x:c>
      <x:c r="D26" s="7" t="str">
        <x:v>Beginner</x:v>
      </x:c>
      <x:c r="E26" s="7" t="str">
        <x:v>Free</x:v>
      </x:c>
      <x:c r="F26" s="7" t="str">
        <x:v>Supplement notes with independent exercises; verify current course tracks.</x:v>
      </x:c>
    </x:row>
    <x:row r="27" ht="66" customHeight="1">
      <x:c r="A27" s="4" t="str">
        <x:v>DSA practice</x:v>
      </x:c>
      <x:c r="B27" s="4" t="str">
        <x:v>LeetCode study plans</x:v>
      </x:c>
      <x:c r="C27" s="4" t="str">
        <x:v>https://leetcode.com/studyplan/</x:v>
      </x:c>
      <x:c r="D27" s="4" t="str">
        <x:v>Intermediate</x:v>
      </x:c>
      <x:c r="E27" s="4" t="str">
        <x:v>Mixed free and paid</x:v>
      </x:c>
      <x:c r="F27" s="4" t="str">
        <x:v>Practice patterns and explain complexity; avoid memorizing company tags as predictions.</x:v>
      </x:c>
    </x:row>
    <x:row r="28" ht="66" customHeight="1">
      <x:c r="A28" s="7" t="str">
        <x:v>Interview practice</x:v>
      </x:c>
      <x:c r="B28" s="7" t="str">
        <x:v>GreatFrontEnd</x:v>
      </x:c>
      <x:c r="C28" s="7" t="str">
        <x:v>https://www.greatfrontend.com/</x:v>
      </x:c>
      <x:c r="D28" s="7" t="str">
        <x:v>Intermediate to advanced</x:v>
      </x:c>
      <x:c r="E28" s="7" t="str">
        <x:v>Mixed free and paid</x:v>
      </x:c>
      <x:c r="F28" s="7" t="str">
        <x:v>Optional UI and frontend interview practice; repository exercises remain free.</x:v>
      </x:c>
    </x:row>
    <x:row r="29" ht="66" customHeight="1">
      <x:c r="A29" s="4" t="str">
        <x:v>Browser debugging</x:v>
      </x:c>
      <x:c r="B29" s="4" t="str">
        <x:v>Chrome DevTools</x:v>
      </x:c>
      <x:c r="C29" s="4" t="str">
        <x:v>https://developer.chrome.com/docs/devtools/</x:v>
      </x:c>
      <x:c r="D29" s="4" t="str">
        <x:v>Intermediate</x:v>
      </x:c>
      <x:c r="E29" s="4" t="str">
        <x:v>Free</x:v>
      </x:c>
      <x:c r="F29" s="4" t="str">
        <x:v>Capture traces and network evidence while debugging.</x:v>
      </x:c>
    </x:row>
    <x:row r="30" ht="66" customHeight="1">
      <x:c r="A30" s="7" t="str">
        <x:v>Deployment</x:v>
      </x:c>
      <x:c r="B30" s="7" t="str">
        <x:v>Docker getting started</x:v>
      </x:c>
      <x:c r="C30" s="7" t="str">
        <x:v>https://docs.docker.com/get-started/</x:v>
      </x:c>
      <x:c r="D30" s="7" t="str">
        <x:v>Intermediate</x:v>
      </x:c>
      <x:c r="E30" s="7" t="str">
        <x:v>Free docs; service plans vary</x:v>
      </x:c>
      <x:c r="F30" s="7" t="str">
        <x:v>Run the sample MongoDB stack and learn volume persistence.</x:v>
      </x:c>
    </x:row>
    <x:row r="31" ht="66" customHeight="1">
      <x:c r="A31" s="4" t="str">
        <x:v>Company</x:v>
      </x:c>
      <x:c r="B31" s="4" t="str">
        <x:v>Amazon how we hire</x:v>
      </x:c>
      <x:c r="C31" s="4" t="str">
        <x:v>https://www.amazon.jobs/content/en/how-we-hire</x:v>
      </x:c>
      <x:c r="D31" s="4" t="str">
        <x:v>All</x:v>
      </x:c>
      <x:c r="E31" s="4" t="str">
        <x:v>Free</x:v>
      </x:c>
      <x:c r="F31" s="4" t="str">
        <x:v>Confirm the role format and prepare evidence-based behavioral stories.</x:v>
      </x:c>
    </x:row>
    <x:row r="32" ht="66" customHeight="1">
      <x:c r="A32" s="7" t="str">
        <x:v>Company</x:v>
      </x:c>
      <x:c r="B32" s="7" t="str">
        <x:v>Google hiring process</x:v>
      </x:c>
      <x:c r="C32" s="7" t="str">
        <x:v>https://www.google.com/about/careers/applications/how-we-hire/</x:v>
      </x:c>
      <x:c r="D32" s="7" t="str">
        <x:v>All</x:v>
      </x:c>
      <x:c r="E32" s="7" t="str">
        <x:v>Free</x:v>
      </x:c>
      <x:c r="F32" s="7" t="str">
        <x:v>Review official process and ask the recruiter for your role format.</x:v>
      </x:c>
    </x:row>
    <x:row r="33" ht="66" customHeight="1">
      <x:c r="A33" s="4" t="str">
        <x:v>Company</x:v>
      </x:c>
      <x:c r="B33" s="4" t="str">
        <x:v>Microsoft technical interviewing</x:v>
      </x:c>
      <x:c r="C33" s="4" t="str">
        <x:v>https://careers.microsoft.com/v2/global/en/hiring-tips/technical-interviewing</x:v>
      </x:c>
      <x:c r="D33" s="4" t="str">
        <x:v>All</x:v>
      </x:c>
      <x:c r="E33" s="4" t="str">
        <x:v>Free</x:v>
      </x:c>
      <x:c r="F33" s="4" t="str">
        <x:v>Use official preparation guidance; practice clarification and reasoning.</x:v>
      </x:c>
    </x:row>
  </x:sheetData>
  <x:pageMargins left="0.7" right="0.7" top="0.75" bottom="0.75" header="0.3" footer="0.3"/>
</x:worksheet>
</file>